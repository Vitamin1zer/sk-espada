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ОСНОВНАЯ ИНФОРМАЦИЯ" sheetId="1" state="visible" r:id="rId1"/>
    <sheet xmlns:r="http://schemas.openxmlformats.org/officeDocument/2006/relationships" name="ОТЧЕТЫ" sheetId="2" state="visible" r:id="rId2"/>
    <sheet xmlns:r="http://schemas.openxmlformats.org/officeDocument/2006/relationships" name="ГОДОВОЙ ПЛА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"/>
    <numFmt numFmtId="166" formatCode="[$р.-419]#,##0.00"/>
  </numFmts>
  <fonts count="13">
    <font>
      <name val="Arial"/>
      <color rgb="FF000000"/>
      <sz val="10"/>
      <scheme val="minor"/>
    </font>
    <font>
      <name val="Inter"/>
      <b val="1"/>
      <color theme="1"/>
      <sz val="10"/>
    </font>
    <font>
      <name val="Inter"/>
      <color theme="1"/>
      <sz val="10"/>
    </font>
    <font>
      <name val="Inter"/>
      <color theme="1"/>
    </font>
    <font>
      <name val="Inter"/>
      <b val="1"/>
      <color theme="1"/>
    </font>
    <font>
      <name val="Arial"/>
      <color theme="1"/>
      <scheme val="minor"/>
    </font>
    <font>
      <name val="Inter"/>
      <color rgb="FF000000"/>
    </font>
    <font>
      <name val="Inter"/>
      <color rgb="FF0000FF"/>
      <sz val="10"/>
      <u val="single"/>
    </font>
    <font>
      <name val="Inter"/>
      <color rgb="FFFF0000"/>
      <sz val="10"/>
    </font>
    <font>
      <name val="Inter"/>
      <color theme="1"/>
      <sz val="10"/>
      <u val="single"/>
    </font>
    <font>
      <name val="Inter"/>
      <color rgb="FF0000FF"/>
      <u val="single"/>
    </font>
    <font>
      <name val="Inter"/>
      <color theme="1"/>
      <u val="single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6">
    <border/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/>
      <diagonal/>
    </border>
  </borders>
  <cellStyleXfs count="2">
    <xf numFmtId="0" fontId="0" fillId="0" borderId="0"/>
    <xf numFmtId="0" fontId="12" fillId="0" borderId="5"/>
  </cellStyleXfs>
  <cellXfs count="6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pivotButton="0" quotePrefix="0" xfId="0"/>
    <xf numFmtId="165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3" fillId="4" borderId="0" applyAlignment="1" pivotButton="0" quotePrefix="0" xfId="0">
      <alignment vertical="center"/>
    </xf>
    <xf numFmtId="0" fontId="3" fillId="3" borderId="0" pivotButton="0" quotePrefix="0" xfId="0"/>
    <xf numFmtId="0" fontId="3" fillId="4" borderId="0" applyAlignment="1" pivotButton="0" quotePrefix="0" xfId="0">
      <alignment horizontal="center" vertical="center"/>
    </xf>
    <xf numFmtId="165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6" fontId="8" fillId="0" borderId="0" applyAlignment="1" pivotButton="0" quotePrefix="0" xfId="0">
      <alignment vertical="center"/>
    </xf>
    <xf numFmtId="0" fontId="6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3" fillId="5" borderId="0" applyAlignment="1" pivotButton="0" quotePrefix="0" xfId="0">
      <alignment vertical="bottom"/>
    </xf>
    <xf numFmtId="0" fontId="2" fillId="5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 wrapText="1"/>
    </xf>
    <xf numFmtId="1" fontId="4" fillId="4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bottom" wrapText="1"/>
    </xf>
    <xf numFmtId="0" fontId="4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12" fillId="0" borderId="5" pivotButton="0" quotePrefix="0" xfId="1"/>
  </cellXfs>
  <cellStyles count="2">
    <cellStyle name="Normal" xfId="0" builtin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k-espada.ru/" TargetMode="External" Id="rId1"/><Relationship Type="http://schemas.openxmlformats.org/officeDocument/2006/relationships/hyperlink" Target="https://drive.google.com/drive/folders/1BVoANcD8fVllEFdVYiFUCscXFsuUE-z_?usp=drive_link" TargetMode="External" Id="rId2"/><Relationship Type="http://schemas.openxmlformats.org/officeDocument/2006/relationships/hyperlink" Target="https://drive.google.com/file/d/1cmO5CG3ckl_ZsqthGGb3-GRnp-k71HFL/view?usp=drive_link" TargetMode="External" Id="rId3"/><Relationship Type="http://schemas.openxmlformats.org/officeDocument/2006/relationships/hyperlink" Target="https://tilda.ru/login/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docs.google.com/spreadsheets/d/16cC_J4JOSrGiBgzhuxZ2csg96GHxs_JfofvrI58iXt0/edit?gid=0" TargetMode="External" Id="rId1"/><Relationship Type="http://schemas.openxmlformats.org/officeDocument/2006/relationships/hyperlink" Target="https://docs.google.com/spreadsheets/d/1ed-CzpxDsh4yZiEWAcwGJLPGOwUsXL0YCB38mdEGpjg/edit?gid=1321442346" TargetMode="External" Id="rId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 outlineLevelRow="1"/>
  <cols>
    <col width="24.75" customWidth="1" style="58" min="1" max="1"/>
    <col width="39.88" customWidth="1" style="58" min="2" max="2"/>
    <col width="27.63" customWidth="1" style="58" min="3" max="3"/>
    <col width="23.75" customWidth="1" style="58" min="4" max="4"/>
    <col hidden="1" width="12.63" customWidth="1" style="58" min="5" max="5"/>
    <col hidden="1" width="27.5" customWidth="1" style="58" min="6" max="6"/>
    <col hidden="1" width="12.63" customWidth="1" style="58" min="7" max="7"/>
  </cols>
  <sheetData>
    <row r="1">
      <c r="A1" s="1" t="inlineStr">
        <is>
          <t>Основная информация</t>
        </is>
      </c>
      <c r="B1" s="3" t="n"/>
      <c r="C1" s="3" t="n"/>
      <c r="D1" s="3" t="n"/>
      <c r="E1" s="4" t="n"/>
      <c r="F1" s="1" t="inlineStr">
        <is>
          <t>Дополнительная информация</t>
        </is>
      </c>
      <c r="G1" s="1" t="n"/>
    </row>
    <row r="2">
      <c r="A2" s="39" t="inlineStr">
        <is>
          <t xml:space="preserve">Дата старта </t>
        </is>
      </c>
      <c r="B2" s="9" t="n">
        <v>46260</v>
      </c>
      <c r="C2" s="39" t="n"/>
      <c r="D2" s="39" t="n"/>
      <c r="E2" s="4" t="n"/>
      <c r="F2" s="39" t="inlineStr">
        <is>
          <t>Разработка с нашей стороны?</t>
        </is>
      </c>
      <c r="G2" s="39" t="b">
        <v>1</v>
      </c>
    </row>
    <row r="3">
      <c r="A3" s="13" t="inlineStr">
        <is>
          <t>Дата отчета</t>
        </is>
      </c>
      <c r="B3" s="16" t="inlineStr">
        <is>
          <t>1 числа каждого месяца</t>
        </is>
      </c>
      <c r="C3" s="39" t="n"/>
      <c r="D3" s="39" t="n"/>
      <c r="E3" s="4" t="n"/>
      <c r="F3" s="13" t="n"/>
      <c r="G3" s="39" t="n"/>
    </row>
    <row r="4">
      <c r="A4" s="13" t="inlineStr">
        <is>
          <t>Ответственный менеджер</t>
        </is>
      </c>
      <c r="B4" s="39" t="inlineStr">
        <is>
          <t>Максим Чешков</t>
        </is>
      </c>
      <c r="C4" s="39" t="n"/>
      <c r="D4" s="39" t="n"/>
      <c r="E4" s="4" t="n"/>
      <c r="F4" s="13" t="inlineStr">
        <is>
          <t>Кол-во часов SEO, ч</t>
        </is>
      </c>
      <c r="G4" s="39" t="n">
        <v>32</v>
      </c>
    </row>
    <row r="5">
      <c r="A5" s="39" t="inlineStr">
        <is>
          <t>SEO стратег</t>
        </is>
      </c>
      <c r="B5" s="39" t="inlineStr">
        <is>
          <t>Леонид Мулякин</t>
        </is>
      </c>
      <c r="C5" s="39" t="n"/>
      <c r="D5" s="39" t="n"/>
      <c r="E5" s="4" t="n"/>
      <c r="F5" s="39" t="inlineStr">
        <is>
          <t>Кол-во часов разработки, ч</t>
        </is>
      </c>
      <c r="G5" s="39" t="n"/>
    </row>
    <row r="6">
      <c r="A6" s="39" t="inlineStr">
        <is>
          <t>Ведущий SEO</t>
        </is>
      </c>
      <c r="B6" s="39" t="inlineStr">
        <is>
          <t>Леонид Мулякин</t>
        </is>
      </c>
      <c r="C6" s="39" t="n"/>
      <c r="D6" s="39" t="n"/>
      <c r="E6" s="4" t="n"/>
      <c r="F6" s="39" t="inlineStr">
        <is>
          <t>Кол-во часов контен-менеджер, ч</t>
        </is>
      </c>
      <c r="G6" s="39" t="n"/>
    </row>
    <row r="7">
      <c r="A7" s="39" t="inlineStr">
        <is>
          <t>URL</t>
        </is>
      </c>
      <c r="B7" s="27" t="inlineStr">
        <is>
          <t>https://sk-espada.ru/</t>
        </is>
      </c>
      <c r="C7" s="39" t="n"/>
      <c r="D7" s="39" t="n"/>
      <c r="E7" s="4" t="n"/>
      <c r="F7" s="39" t="n"/>
      <c r="G7" s="39" t="n"/>
    </row>
    <row r="8">
      <c r="A8" s="39" t="inlineStr">
        <is>
          <t>Бюджет на SEO</t>
        </is>
      </c>
      <c r="B8" s="28" t="n">
        <v>110000</v>
      </c>
      <c r="C8" s="39" t="n"/>
      <c r="D8" s="39" t="n"/>
      <c r="E8" s="4" t="n"/>
      <c r="F8" s="1" t="inlineStr">
        <is>
          <t>Доп.бюджет</t>
        </is>
      </c>
      <c r="G8" s="1" t="n"/>
    </row>
    <row r="9">
      <c r="A9" s="39" t="inlineStr">
        <is>
          <t>Тематика</t>
        </is>
      </c>
      <c r="B9" s="39" t="inlineStr">
        <is>
          <t>Ремонт под ключ, дизайн интерьеров</t>
        </is>
      </c>
      <c r="C9" s="39" t="n"/>
      <c r="D9" s="39" t="n"/>
      <c r="E9" s="4" t="n"/>
      <c r="F9" s="39" t="inlineStr">
        <is>
          <t>Ссылки</t>
        </is>
      </c>
      <c r="G9" s="29" t="n"/>
    </row>
    <row r="10">
      <c r="A10" s="13" t="inlineStr">
        <is>
          <t>Гео</t>
        </is>
      </c>
      <c r="B10" s="30" t="inlineStr">
        <is>
          <t>Москва</t>
        </is>
      </c>
      <c r="C10" s="39" t="n"/>
      <c r="D10" s="39" t="n"/>
      <c r="E10" s="4" t="n"/>
      <c r="F10" s="39" t="inlineStr">
        <is>
          <t>Тексты</t>
        </is>
      </c>
      <c r="G10" s="29" t="n"/>
    </row>
    <row r="11">
      <c r="A11" s="39" t="inlineStr">
        <is>
          <t>Google диск</t>
        </is>
      </c>
      <c r="B11" s="33" t="inlineStr">
        <is>
          <t>СК ЭСПАДА</t>
        </is>
      </c>
      <c r="C11" s="39" t="n"/>
      <c r="D11" s="39" t="n"/>
      <c r="E11" s="4" t="n"/>
      <c r="F11" s="39" t="inlineStr">
        <is>
          <t>Разработка</t>
        </is>
      </c>
      <c r="G11" s="29" t="n"/>
    </row>
    <row r="12">
      <c r="A12" s="39" t="inlineStr">
        <is>
          <t>Особые пожелания</t>
        </is>
      </c>
      <c r="B12" s="27" t="inlineStr">
        <is>
          <t>В брифе много крутой инфы</t>
        </is>
      </c>
      <c r="C12" s="39" t="n"/>
      <c r="D12" s="39" t="n"/>
      <c r="E12" s="35" t="n"/>
      <c r="F12" s="36" t="n"/>
      <c r="G12" s="36" t="n"/>
    </row>
    <row r="13" ht="56.25" customHeight="1" s="58">
      <c r="A13" s="1" t="inlineStr">
        <is>
          <t>Данные клиента</t>
        </is>
      </c>
      <c r="B13" s="3" t="n"/>
      <c r="C13" s="3" t="n"/>
      <c r="D13" s="3" t="n"/>
      <c r="E13" s="35" t="n"/>
      <c r="F13" s="37" t="n"/>
      <c r="G13" s="37" t="n"/>
    </row>
    <row r="14">
      <c r="A14" s="39" t="inlineStr">
        <is>
          <t>Имя клиента</t>
        </is>
      </c>
      <c r="B14" s="39" t="inlineStr">
        <is>
          <t>Мария</t>
        </is>
      </c>
      <c r="C14" s="39" t="n"/>
      <c r="D14" s="39" t="n"/>
      <c r="E14" s="35" t="n"/>
      <c r="F14" s="37" t="n"/>
      <c r="G14" s="37" t="n"/>
    </row>
    <row r="15">
      <c r="A15" s="39" t="inlineStr">
        <is>
          <t>Должность клиента</t>
        </is>
      </c>
      <c r="B15" s="39" t="inlineStr">
        <is>
          <t>Маркетолог</t>
        </is>
      </c>
      <c r="C15" s="39" t="n"/>
      <c r="D15" s="39" t="n"/>
      <c r="E15" s="35" t="n"/>
      <c r="F15" s="37" t="n"/>
      <c r="G15" s="37" t="n"/>
    </row>
    <row r="16">
      <c r="A16" s="39" t="inlineStr">
        <is>
          <t>Телеграм клиента</t>
        </is>
      </c>
      <c r="B16" s="39" t="inlineStr">
        <is>
          <t>@x_aarh</t>
        </is>
      </c>
      <c r="C16" s="39" t="n"/>
      <c r="D16" s="39" t="n"/>
      <c r="E16" s="35" t="n"/>
      <c r="F16" s="37" t="n"/>
      <c r="G16" s="37" t="n"/>
    </row>
    <row r="17">
      <c r="A17" s="39" t="inlineStr">
        <is>
          <t>WhatsApp клиента</t>
        </is>
      </c>
      <c r="B17" s="39" t="n"/>
      <c r="C17" s="39" t="n"/>
      <c r="D17" s="39" t="n"/>
      <c r="E17" s="35" t="n"/>
      <c r="F17" s="37" t="n"/>
      <c r="G17" s="37" t="n"/>
    </row>
    <row r="18">
      <c r="A18" s="39" t="inlineStr">
        <is>
          <t>Телефон клиента</t>
        </is>
      </c>
      <c r="B18" s="39" t="n"/>
      <c r="C18" s="39" t="n"/>
      <c r="D18" s="39" t="n"/>
      <c r="E18" s="35" t="n"/>
      <c r="F18" s="37" t="n"/>
      <c r="G18" s="37" t="n"/>
    </row>
    <row r="19">
      <c r="A19" s="39" t="inlineStr">
        <is>
          <t>Почта клиента</t>
        </is>
      </c>
      <c r="B19" s="39" t="n"/>
      <c r="C19" s="39" t="n"/>
      <c r="D19" s="39" t="n"/>
      <c r="E19" s="35" t="n"/>
      <c r="F19" s="37" t="n"/>
      <c r="G19" s="37" t="n"/>
    </row>
    <row r="20">
      <c r="A20" s="1" t="inlineStr">
        <is>
          <t xml:space="preserve">Доступы </t>
        </is>
      </c>
      <c r="B20" s="3" t="n"/>
      <c r="C20" s="3" t="n"/>
      <c r="D20" s="3" t="n"/>
      <c r="E20" s="35" t="n"/>
      <c r="F20" s="37" t="n"/>
      <c r="G20" s="37" t="n"/>
    </row>
    <row r="21">
      <c r="A21" s="39" t="inlineStr">
        <is>
          <t>Я.Метрика</t>
        </is>
      </c>
      <c r="B21" s="39" t="b">
        <v>1</v>
      </c>
      <c r="C21" s="39" t="n"/>
      <c r="D21" s="39" t="n"/>
      <c r="E21" s="35" t="n"/>
      <c r="F21" s="37" t="n"/>
      <c r="G21" s="37" t="n"/>
    </row>
    <row r="22">
      <c r="A22" s="39" t="inlineStr">
        <is>
          <t>Я.Вебмастер</t>
        </is>
      </c>
      <c r="B22" s="39" t="b">
        <v>1</v>
      </c>
      <c r="C22" s="39" t="n"/>
      <c r="D22" s="39" t="n"/>
      <c r="E22" s="35" t="n"/>
      <c r="F22" s="37" t="n"/>
      <c r="G22" s="37" t="n"/>
    </row>
    <row r="23">
      <c r="A23" s="39" t="inlineStr">
        <is>
          <t>GSC</t>
        </is>
      </c>
      <c r="B23" s="41" t="b">
        <v>0</v>
      </c>
      <c r="C23" s="41" t="n"/>
      <c r="D23" s="41" t="n"/>
      <c r="E23" s="35" t="n"/>
      <c r="F23" s="37" t="n"/>
      <c r="G23" s="37" t="n"/>
    </row>
    <row r="24">
      <c r="A24" s="39" t="inlineStr">
        <is>
          <t>Старая тильда</t>
        </is>
      </c>
      <c r="B24" s="42" t="inlineStr">
        <is>
          <t>https://tilda.ru/login/</t>
        </is>
      </c>
      <c r="C24" s="39" t="inlineStr">
        <is>
          <t>mariya.repyahova.2012@mail.ru</t>
        </is>
      </c>
      <c r="D24" s="39" t="inlineStr">
        <is>
          <t>N2ttVf3y</t>
        </is>
      </c>
      <c r="E24" s="35" t="n"/>
      <c r="F24" s="37" t="n"/>
      <c r="G24" s="37" t="n"/>
    </row>
    <row r="25">
      <c r="A25" s="39" t="inlineStr">
        <is>
          <t>Админка</t>
        </is>
      </c>
      <c r="B25" s="44" t="n"/>
      <c r="C25" s="41" t="n"/>
      <c r="D25" s="41" t="n"/>
      <c r="E25" s="35" t="n"/>
      <c r="F25" s="37" t="n"/>
      <c r="G25" s="37" t="n"/>
    </row>
    <row r="26">
      <c r="A26" s="45" t="inlineStr">
        <is>
          <t>Доступ к хостингу</t>
        </is>
      </c>
      <c r="B26" s="44" t="n"/>
      <c r="C26" s="45" t="n"/>
      <c r="D26" s="45" t="n"/>
      <c r="E26" s="35" t="n"/>
      <c r="F26" s="37" t="n"/>
      <c r="G26" s="37" t="n"/>
    </row>
  </sheetData>
  <hyperlinks>
    <hyperlink xmlns:r="http://schemas.openxmlformats.org/officeDocument/2006/relationships" ref="B7" r:id="rId1"/>
    <hyperlink xmlns:r="http://schemas.openxmlformats.org/officeDocument/2006/relationships" ref="B11" r:id="rId2"/>
    <hyperlink xmlns:r="http://schemas.openxmlformats.org/officeDocument/2006/relationships" ref="B12" r:id="rId3"/>
    <hyperlink xmlns:r="http://schemas.openxmlformats.org/officeDocument/2006/relationships" ref="B24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 outlineLevelRow="1"/>
  <cols>
    <col width="9.75" customWidth="1" style="58" min="1" max="1"/>
    <col width="18.5" customWidth="1" style="58" min="2" max="2"/>
    <col width="31.63" customWidth="1" style="58" min="3" max="3"/>
  </cols>
  <sheetData>
    <row r="1">
      <c r="A1" s="2" t="inlineStr">
        <is>
          <t xml:space="preserve">№ месяца </t>
        </is>
      </c>
      <c r="B1" s="2" t="inlineStr">
        <is>
          <t xml:space="preserve">Месяц </t>
        </is>
      </c>
      <c r="C1" s="2" t="inlineStr">
        <is>
          <t>Ссылка на отчет</t>
        </is>
      </c>
    </row>
    <row r="2">
      <c r="A2" s="5" t="n">
        <v>2026</v>
      </c>
    </row>
    <row r="3">
      <c r="A3" s="6" t="inlineStr">
        <is>
          <t>1 месяц</t>
        </is>
      </c>
      <c r="B3" s="41" t="inlineStr">
        <is>
          <t>сентябрь</t>
        </is>
      </c>
      <c r="C3" s="41" t="n"/>
    </row>
    <row r="4">
      <c r="A4" s="6" t="inlineStr">
        <is>
          <t>2 месяц</t>
        </is>
      </c>
      <c r="B4" s="39" t="inlineStr">
        <is>
          <t>октябрь</t>
        </is>
      </c>
      <c r="C4" s="41" t="n"/>
    </row>
    <row r="5">
      <c r="A5" s="6" t="inlineStr">
        <is>
          <t>3 месяц</t>
        </is>
      </c>
      <c r="B5" s="39" t="inlineStr">
        <is>
          <t>ноябрь</t>
        </is>
      </c>
      <c r="C5" s="39" t="n"/>
    </row>
    <row r="6">
      <c r="A6" s="6" t="inlineStr">
        <is>
          <t>4 месяц</t>
        </is>
      </c>
      <c r="B6" s="13" t="inlineStr">
        <is>
          <t>декабрь</t>
        </is>
      </c>
      <c r="C6" s="39" t="n"/>
    </row>
    <row r="7">
      <c r="A7" s="5" t="n">
        <v>2027</v>
      </c>
    </row>
    <row r="8">
      <c r="A8" s="6" t="inlineStr">
        <is>
          <t>5 месяц</t>
        </is>
      </c>
      <c r="B8" s="13" t="inlineStr">
        <is>
          <t>январь</t>
        </is>
      </c>
      <c r="C8" s="13" t="n"/>
    </row>
    <row r="9">
      <c r="A9" s="6" t="inlineStr">
        <is>
          <t>6 месяц</t>
        </is>
      </c>
      <c r="B9" s="13" t="inlineStr">
        <is>
          <t>февраль</t>
        </is>
      </c>
      <c r="C9" s="13" t="n"/>
    </row>
    <row r="10">
      <c r="A10" s="6" t="inlineStr">
        <is>
          <t>7 месяц</t>
        </is>
      </c>
      <c r="B10" s="13" t="inlineStr">
        <is>
          <t>март</t>
        </is>
      </c>
      <c r="C10" s="13" t="n"/>
    </row>
    <row r="11">
      <c r="A11" s="6" t="inlineStr">
        <is>
          <t>8 месяц</t>
        </is>
      </c>
      <c r="B11" s="13" t="inlineStr">
        <is>
          <t>апрель</t>
        </is>
      </c>
      <c r="C11" s="13" t="n"/>
    </row>
    <row r="12">
      <c r="A12" s="6" t="inlineStr">
        <is>
          <t>9 месяц</t>
        </is>
      </c>
      <c r="B12" s="13" t="inlineStr">
        <is>
          <t>май</t>
        </is>
      </c>
      <c r="C12" s="13" t="n"/>
    </row>
    <row r="13">
      <c r="A13" s="6" t="inlineStr">
        <is>
          <t>10 месяц</t>
        </is>
      </c>
      <c r="B13" s="13" t="inlineStr">
        <is>
          <t>июнь</t>
        </is>
      </c>
      <c r="C13" s="13" t="n"/>
    </row>
    <row r="14">
      <c r="A14" s="6" t="inlineStr">
        <is>
          <t>11 месяц</t>
        </is>
      </c>
      <c r="B14" s="13" t="inlineStr">
        <is>
          <t>июль</t>
        </is>
      </c>
      <c r="C14" s="13" t="n"/>
    </row>
    <row r="15">
      <c r="A15" s="6" t="inlineStr">
        <is>
          <t>12 месяц</t>
        </is>
      </c>
      <c r="B15" s="18" t="inlineStr">
        <is>
          <t>август</t>
        </is>
      </c>
    </row>
    <row r="16">
      <c r="A16" s="20" t="n"/>
    </row>
  </sheetData>
  <mergeCells count="3">
    <mergeCell ref="A7:C7"/>
    <mergeCell ref="A2:C2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16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 outlineLevelRow="1"/>
  <cols>
    <col width="57" customWidth="1" style="58" min="2" max="2"/>
    <col width="8.630000000000001" customWidth="1" style="58" min="3" max="3"/>
    <col width="17.75" customWidth="1" style="58" min="4" max="4"/>
    <col width="24.88" customWidth="1" style="58" min="7" max="7"/>
    <col width="46" customWidth="1" style="58" min="8" max="8"/>
    <col width="52.75" customWidth="1" style="58" min="9" max="9"/>
  </cols>
  <sheetData>
    <row r="1">
      <c r="A1" s="15" t="inlineStr">
        <is>
          <t>Месяц</t>
        </is>
      </c>
      <c r="B1" s="15" t="inlineStr">
        <is>
          <t xml:space="preserve">Наименование задачи </t>
        </is>
      </c>
      <c r="C1" s="15" t="inlineStr">
        <is>
          <t>Спринт</t>
        </is>
      </c>
      <c r="D1" s="15" t="inlineStr">
        <is>
          <t>Статус</t>
        </is>
      </c>
      <c r="E1" s="14" t="inlineStr">
        <is>
          <t>Планируемое время (часы)</t>
        </is>
      </c>
      <c r="F1" s="14" t="inlineStr">
        <is>
          <t>Фактическое время (часы)</t>
        </is>
      </c>
      <c r="G1" s="15" t="inlineStr">
        <is>
          <t>Ответственный</t>
        </is>
      </c>
      <c r="H1" s="15" t="inlineStr">
        <is>
          <t>Результат</t>
        </is>
      </c>
      <c r="I1" s="15" t="inlineStr">
        <is>
          <t>Комментарий</t>
        </is>
      </c>
    </row>
    <row r="2">
      <c r="A2" s="56" t="inlineStr">
        <is>
          <t>Сентябрь 2026</t>
        </is>
      </c>
      <c r="B2" s="51" t="inlineStr">
        <is>
          <t>Переезд на WordPress</t>
        </is>
      </c>
      <c r="C2" s="51" t="n"/>
      <c r="D2" s="21" t="n"/>
      <c r="E2" s="22" t="n"/>
      <c r="F2" s="22" t="n"/>
      <c r="G2" s="21" t="n"/>
      <c r="H2" s="51" t="n"/>
      <c r="I2" s="23" t="n"/>
    </row>
    <row r="3" outlineLevel="1" s="58">
      <c r="A3" s="57" t="n"/>
      <c r="B3" s="53" t="inlineStr">
        <is>
          <t>Получение доступов</t>
        </is>
      </c>
      <c r="C3" s="26" t="inlineStr">
        <is>
          <t>Подготовка к переезду</t>
        </is>
      </c>
      <c r="D3" s="50" t="inlineStr">
        <is>
          <t>В работе</t>
        </is>
      </c>
      <c r="E3" s="48" t="n">
        <v>1</v>
      </c>
      <c r="F3" s="48" t="n"/>
      <c r="G3" s="50" t="inlineStr">
        <is>
          <t>Мулякин Леонид</t>
        </is>
      </c>
      <c r="H3" s="41" t="n"/>
      <c r="I3" s="53" t="n"/>
    </row>
    <row r="4" outlineLevel="1" s="58">
      <c r="A4" s="57" t="n"/>
      <c r="B4" s="53" t="inlineStr">
        <is>
          <t>Выгрузка контента и картинок со старого сайта</t>
        </is>
      </c>
      <c r="C4" s="26" t="inlineStr">
        <is>
          <t>Подготовка к переезду</t>
        </is>
      </c>
      <c r="D4" s="50" t="inlineStr">
        <is>
          <t>Готово</t>
        </is>
      </c>
      <c r="E4" s="48" t="n">
        <v>2</v>
      </c>
      <c r="F4" s="48" t="n"/>
      <c r="G4" s="50" t="inlineStr">
        <is>
          <t>Мулякин Леонид</t>
        </is>
      </c>
      <c r="H4" s="41" t="n"/>
      <c r="I4" s="53" t="n"/>
    </row>
    <row r="5" outlineLevel="1" s="58">
      <c r="A5" s="57" t="n"/>
      <c r="B5" s="53" t="inlineStr">
        <is>
          <t>Технический аудит сайта и фиксация точки отсчёта</t>
        </is>
      </c>
      <c r="C5" s="26" t="inlineStr">
        <is>
          <t>Подготовка к переезду</t>
        </is>
      </c>
      <c r="D5" s="50" t="inlineStr">
        <is>
          <t xml:space="preserve">Планируется </t>
        </is>
      </c>
      <c r="E5" s="48" t="n">
        <v>2</v>
      </c>
      <c r="F5" s="48" t="n"/>
      <c r="G5" s="50" t="inlineStr">
        <is>
          <t>Мулякин Леонид</t>
        </is>
      </c>
      <c r="H5" s="41" t="n"/>
      <c r="I5" s="53" t="n"/>
    </row>
    <row r="6" outlineLevel="1" s="58">
      <c r="A6" s="57" t="n"/>
      <c r="B6" s="53" t="inlineStr">
        <is>
          <t>Карта соответствия старых и новых адресов</t>
        </is>
      </c>
      <c r="C6" s="26" t="inlineStr">
        <is>
          <t>Подготовка к переезду</t>
        </is>
      </c>
      <c r="D6" s="50" t="inlineStr">
        <is>
          <t xml:space="preserve">Планируется </t>
        </is>
      </c>
      <c r="E6" s="48" t="n">
        <v>2</v>
      </c>
      <c r="F6" s="48" t="n"/>
      <c r="G6" s="50" t="inlineStr">
        <is>
          <t>Мулякин Леонид</t>
        </is>
      </c>
      <c r="H6" s="41" t="n"/>
      <c r="I6" s="53" t="n"/>
    </row>
    <row r="7" outlineLevel="1" s="58">
      <c r="A7" s="57" t="n"/>
      <c r="B7" s="53" t="inlineStr">
        <is>
          <t>Сбор семантического ядра</t>
        </is>
      </c>
      <c r="C7" s="26" t="inlineStr">
        <is>
          <t>Опережающие SEO-работы</t>
        </is>
      </c>
      <c r="D7" s="50" t="inlineStr">
        <is>
          <t>В работе</t>
        </is>
      </c>
      <c r="E7" s="48" t="n">
        <v>4</v>
      </c>
      <c r="F7" s="48" t="n"/>
      <c r="G7" s="50" t="inlineStr">
        <is>
          <t>Мулякин Леонид</t>
        </is>
      </c>
      <c r="H7" s="41" t="n"/>
      <c r="I7" s="53" t="n"/>
    </row>
    <row r="8" outlineLevel="1" s="58">
      <c r="A8" s="57" t="n"/>
      <c r="B8" s="53" t="inlineStr">
        <is>
          <t>Проектирование структуры сайта</t>
        </is>
      </c>
      <c r="C8" s="26" t="inlineStr">
        <is>
          <t>Опережающие SEO-работы</t>
        </is>
      </c>
      <c r="D8" s="50" t="inlineStr">
        <is>
          <t>В работе</t>
        </is>
      </c>
      <c r="E8" s="48" t="n">
        <v>3</v>
      </c>
      <c r="F8" s="48" t="n"/>
      <c r="G8" s="50" t="inlineStr">
        <is>
          <t>Мулякин Леонид</t>
        </is>
      </c>
      <c r="H8" s="41" t="n"/>
      <c r="I8" s="53" t="n"/>
    </row>
    <row r="9" outlineLevel="1" s="58">
      <c r="A9" s="57" t="n"/>
      <c r="B9" s="53" t="inlineStr">
        <is>
          <t>Развёртывание WordPress и настройка окружения</t>
        </is>
      </c>
      <c r="C9" s="26" t="inlineStr">
        <is>
          <t>Разработка</t>
        </is>
      </c>
      <c r="D9" s="50" t="inlineStr">
        <is>
          <t xml:space="preserve">Планируется </t>
        </is>
      </c>
      <c r="E9" s="48" t="n">
        <v>2</v>
      </c>
      <c r="F9" s="48" t="n"/>
      <c r="G9" s="50" t="inlineStr">
        <is>
          <t>Мулякин Леонид</t>
        </is>
      </c>
      <c r="H9" s="41" t="n"/>
      <c r="I9" s="53" t="n"/>
    </row>
    <row r="10" outlineLevel="1" s="58">
      <c r="A10" s="57" t="n"/>
      <c r="B10" s="53" t="inlineStr">
        <is>
          <t>Отрисовка макетов шаблонов страниц</t>
        </is>
      </c>
      <c r="C10" s="26" t="inlineStr">
        <is>
          <t>Разработка</t>
        </is>
      </c>
      <c r="D10" s="50" t="inlineStr">
        <is>
          <t>В работе</t>
        </is>
      </c>
      <c r="E10" s="48" t="n">
        <v>3</v>
      </c>
      <c r="F10" s="48" t="n"/>
      <c r="G10" s="50" t="inlineStr">
        <is>
          <t>Мулякин Леонид</t>
        </is>
      </c>
      <c r="H10" s="41" t="n"/>
      <c r="I10" s="53" t="n"/>
    </row>
    <row r="11" outlineLevel="1" s="58">
      <c r="A11" s="57" t="n"/>
      <c r="B11" s="53" t="inlineStr">
        <is>
          <t>Разработка главной страницы</t>
        </is>
      </c>
      <c r="C11" s="26" t="inlineStr">
        <is>
          <t>Разработка</t>
        </is>
      </c>
      <c r="D11" s="50" t="inlineStr">
        <is>
          <t xml:space="preserve">Планируется </t>
        </is>
      </c>
      <c r="E11" s="48" t="n">
        <v>3</v>
      </c>
      <c r="F11" s="48" t="n"/>
      <c r="G11" s="50" t="inlineStr">
        <is>
          <t>Мулякин Леонид</t>
        </is>
      </c>
      <c r="H11" s="41" t="n"/>
      <c r="I11" s="53" t="n"/>
    </row>
    <row r="12" outlineLevel="1" s="58">
      <c r="A12" s="57" t="n"/>
      <c r="B12" s="53" t="inlineStr">
        <is>
          <t>Разработка шаблона страницы услуги</t>
        </is>
      </c>
      <c r="C12" s="26" t="inlineStr">
        <is>
          <t>Разработка</t>
        </is>
      </c>
      <c r="D12" s="50" t="inlineStr">
        <is>
          <t xml:space="preserve">Планируется </t>
        </is>
      </c>
      <c r="E12" s="48" t="n">
        <v>2</v>
      </c>
      <c r="F12" s="48" t="n"/>
      <c r="G12" s="50" t="inlineStr">
        <is>
          <t>Мулякин Леонид</t>
        </is>
      </c>
      <c r="H12" s="41" t="n"/>
      <c r="I12" s="53" t="n"/>
    </row>
    <row r="13" outlineLevel="1" s="58">
      <c r="A13" s="57" t="n"/>
      <c r="B13" s="53" t="inlineStr">
        <is>
          <t>Разработка сквозной шапки и подвала</t>
        </is>
      </c>
      <c r="C13" s="26" t="inlineStr">
        <is>
          <t>Разработка</t>
        </is>
      </c>
      <c r="D13" s="50" t="inlineStr">
        <is>
          <t xml:space="preserve">Планируется </t>
        </is>
      </c>
      <c r="E13" s="48" t="n">
        <v>1</v>
      </c>
      <c r="F13" s="48" t="n"/>
      <c r="G13" s="50" t="inlineStr">
        <is>
          <t>Мулякин Леонид</t>
        </is>
      </c>
      <c r="H13" s="41" t="n"/>
      <c r="I13" s="53" t="n"/>
    </row>
    <row r="14" outlineLevel="1" s="58">
      <c r="A14" s="57" t="n"/>
      <c r="B14" s="53" t="inlineStr">
        <is>
          <t>Перенос контента и настройка ЧПУ</t>
        </is>
      </c>
      <c r="C14" s="26" t="inlineStr">
        <is>
          <t>Разработка</t>
        </is>
      </c>
      <c r="D14" s="50" t="inlineStr">
        <is>
          <t xml:space="preserve">Планируется </t>
        </is>
      </c>
      <c r="E14" s="48" t="n">
        <v>2</v>
      </c>
      <c r="F14" s="48" t="n"/>
      <c r="G14" s="50" t="inlineStr">
        <is>
          <t>Мулякин Леонид</t>
        </is>
      </c>
      <c r="H14" s="41" t="n"/>
      <c r="I14" s="53" t="n"/>
    </row>
    <row r="15" outlineLevel="1" s="58">
      <c r="A15" s="57" t="n"/>
      <c r="B15" s="53" t="inlineStr">
        <is>
          <t>Адаптация шаблонов под мобильные</t>
        </is>
      </c>
      <c r="C15" s="26" t="inlineStr">
        <is>
          <t>Разработка</t>
        </is>
      </c>
      <c r="D15" s="50" t="inlineStr">
        <is>
          <t xml:space="preserve">Планируется </t>
        </is>
      </c>
      <c r="E15" s="48" t="n">
        <v>1</v>
      </c>
      <c r="F15" s="48" t="n"/>
      <c r="G15" s="50" t="inlineStr">
        <is>
          <t>Мулякин Леонид</t>
        </is>
      </c>
      <c r="H15" s="41" t="n"/>
      <c r="I15" s="53" t="n"/>
    </row>
    <row r="16">
      <c r="A16" s="57" t="n"/>
      <c r="B16" s="53" t="inlineStr">
        <is>
          <t>Настройка 301-редиректов и склейка зеркал</t>
        </is>
      </c>
      <c r="C16" s="26" t="inlineStr">
        <is>
          <t>Запуск</t>
        </is>
      </c>
      <c r="D16" s="50" t="inlineStr">
        <is>
          <t xml:space="preserve">Планируется </t>
        </is>
      </c>
      <c r="E16" s="48" t="n">
        <v>1</v>
      </c>
      <c r="F16" s="48" t="n"/>
      <c r="G16" s="50" t="inlineStr">
        <is>
          <t>Мулякин Леонид</t>
        </is>
      </c>
      <c r="H16" s="41" t="n"/>
      <c r="I16" s="53" t="n"/>
    </row>
    <row r="17" outlineLevel="1" s="58">
      <c r="A17" s="57" t="n"/>
      <c r="B17" s="53" t="inlineStr">
        <is>
          <t>Технические настройки после переезда</t>
        </is>
      </c>
      <c r="C17" s="26" t="inlineStr">
        <is>
          <t>Запуск</t>
        </is>
      </c>
      <c r="D17" s="50" t="inlineStr">
        <is>
          <t xml:space="preserve">Планируется </t>
        </is>
      </c>
      <c r="E17" s="48" t="n">
        <v>1</v>
      </c>
      <c r="F17" s="48" t="n"/>
      <c r="G17" s="50" t="inlineStr">
        <is>
          <t>Мулякин Леонид</t>
        </is>
      </c>
      <c r="H17" s="41" t="n"/>
      <c r="I17" s="53" t="n"/>
    </row>
    <row r="18" outlineLevel="1" s="58">
      <c r="A18" s="57" t="n"/>
      <c r="B18" s="53" t="inlineStr">
        <is>
          <t>Регистрация в Я.Вебмастер, Я.Метрика и GSC</t>
        </is>
      </c>
      <c r="C18" s="26" t="inlineStr">
        <is>
          <t>Запуск</t>
        </is>
      </c>
      <c r="D18" s="50" t="inlineStr">
        <is>
          <t xml:space="preserve">Планируется </t>
        </is>
      </c>
      <c r="E18" s="48" t="n">
        <v>1</v>
      </c>
      <c r="F18" s="48" t="n"/>
      <c r="G18" s="50" t="inlineStr">
        <is>
          <t>Мулякин Леонид</t>
        </is>
      </c>
      <c r="H18" s="41" t="n"/>
      <c r="I18" s="53" t="n"/>
    </row>
    <row r="19" outlineLevel="1" s="58">
      <c r="A19" s="57" t="n"/>
      <c r="B19" s="53" t="inlineStr">
        <is>
          <t>Отчётность и консультации</t>
        </is>
      </c>
      <c r="C19" s="26" t="inlineStr">
        <is>
          <t>Отчётность</t>
        </is>
      </c>
      <c r="D19" s="50" t="inlineStr">
        <is>
          <t xml:space="preserve">Планируется </t>
        </is>
      </c>
      <c r="E19" s="48" t="n">
        <v>1</v>
      </c>
      <c r="F19" s="48" t="n"/>
      <c r="G19" s="50" t="inlineStr">
        <is>
          <t>Мулякин Леонид</t>
        </is>
      </c>
      <c r="H19" s="41" t="n"/>
      <c r="I19" s="53" t="n"/>
    </row>
    <row r="20" outlineLevel="1" s="58">
      <c r="A20" s="57" t="n"/>
      <c r="B20" s="59" t="inlineStr">
        <is>
          <t>План работ на 1 месяц | sk-espada | SEO VICTORY</t>
        </is>
      </c>
      <c r="C20" s="26" t="n"/>
      <c r="D20" s="50" t="n"/>
      <c r="E20" s="48" t="n"/>
      <c r="F20" s="48" t="n"/>
      <c r="G20" s="50" t="n"/>
      <c r="H20" s="41" t="n"/>
      <c r="I20" s="53" t="inlineStr">
        <is>
          <t>Ссылка на документ</t>
        </is>
      </c>
    </row>
    <row r="21" outlineLevel="1" s="58">
      <c r="A21" s="57" t="n"/>
      <c r="B21" s="59" t="inlineStr">
        <is>
          <t>План работ на 6 месяцев | sk-espada.ru | SEO VICTORY</t>
        </is>
      </c>
      <c r="C21" s="26" t="n"/>
      <c r="D21" s="50" t="n"/>
      <c r="E21" s="48" t="n"/>
      <c r="F21" s="48" t="n"/>
      <c r="G21" s="50" t="n"/>
      <c r="H21" s="41" t="n"/>
      <c r="I21" s="53" t="inlineStr">
        <is>
          <t>Ссылка на документ</t>
        </is>
      </c>
    </row>
    <row r="22" outlineLevel="1" s="58">
      <c r="A22" s="56" t="n"/>
      <c r="B22" s="51" t="n"/>
      <c r="C22" s="51" t="n"/>
      <c r="D22" s="52" t="inlineStr">
        <is>
          <t>ИТОГО:</t>
        </is>
      </c>
      <c r="E22" s="47">
        <f>SUM(E3:E21)</f>
        <v/>
      </c>
      <c r="F22" s="47">
        <f>SUM(F3:F21)</f>
        <v/>
      </c>
      <c r="G22" s="21" t="n"/>
      <c r="H22" s="51" t="n"/>
      <c r="I22" s="23" t="n"/>
    </row>
    <row r="23" outlineLevel="1" s="58">
      <c r="A23" s="56" t="inlineStr">
        <is>
          <t>Октябрь 2026</t>
        </is>
      </c>
      <c r="B23" s="51" t="inlineStr">
        <is>
          <t>Семантика, структура, метатеги</t>
        </is>
      </c>
      <c r="C23" s="51" t="n"/>
      <c r="D23" s="21" t="n"/>
      <c r="E23" s="22" t="n"/>
      <c r="F23" s="22" t="n"/>
      <c r="G23" s="21" t="n"/>
      <c r="H23" s="51" t="n"/>
      <c r="I23" s="23" t="n"/>
    </row>
    <row r="24" outlineLevel="1" s="58">
      <c r="A24" s="57" t="n"/>
      <c r="B24" s="53" t="inlineStr">
        <is>
          <t>Анализ лидеров поисковой выдачи</t>
        </is>
      </c>
      <c r="C24" s="26" t="inlineStr">
        <is>
          <t>Анализ ниши</t>
        </is>
      </c>
      <c r="D24" s="50" t="inlineStr">
        <is>
          <t xml:space="preserve">Планируется </t>
        </is>
      </c>
      <c r="E24" s="48" t="n">
        <v>3</v>
      </c>
      <c r="F24" s="48" t="n"/>
      <c r="G24" s="50" t="inlineStr">
        <is>
          <t>Мулякин Леонид</t>
        </is>
      </c>
      <c r="H24" s="41" t="n"/>
      <c r="I24" s="53" t="n"/>
    </row>
    <row r="25" outlineLevel="1" s="58">
      <c r="A25" s="57" t="n"/>
      <c r="B25" s="53" t="inlineStr">
        <is>
          <t>Анализ конкурентов по коммерческим факторам</t>
        </is>
      </c>
      <c r="C25" s="26" t="inlineStr">
        <is>
          <t>Анализ ниши</t>
        </is>
      </c>
      <c r="D25" s="50" t="inlineStr">
        <is>
          <t xml:space="preserve">Планируется </t>
        </is>
      </c>
      <c r="E25" s="48" t="n">
        <v>3</v>
      </c>
      <c r="F25" s="48" t="n"/>
      <c r="G25" s="50" t="inlineStr">
        <is>
          <t>Мулякин Леонид</t>
        </is>
      </c>
      <c r="H25" s="41" t="n"/>
      <c r="I25" s="53" t="n"/>
    </row>
    <row r="26" outlineLevel="1" s="58">
      <c r="A26" s="57" t="n"/>
      <c r="B26" s="53" t="inlineStr">
        <is>
          <t>Съём частотности и чистка ядра</t>
        </is>
      </c>
      <c r="C26" s="26" t="inlineStr">
        <is>
          <t>Семантика</t>
        </is>
      </c>
      <c r="D26" s="50" t="inlineStr">
        <is>
          <t xml:space="preserve">Планируется </t>
        </is>
      </c>
      <c r="E26" s="48" t="n">
        <v>3</v>
      </c>
      <c r="F26" s="48" t="n"/>
      <c r="G26" s="50" t="inlineStr">
        <is>
          <t>Мулякин Леонид</t>
        </is>
      </c>
      <c r="H26" s="41" t="n"/>
      <c r="I26" s="53" t="n"/>
    </row>
    <row r="27" outlineLevel="1" s="58">
      <c r="A27" s="57" t="n"/>
      <c r="B27" s="53" t="inlineStr">
        <is>
          <t>Кластеризация запросов по интенту</t>
        </is>
      </c>
      <c r="C27" s="26" t="inlineStr">
        <is>
          <t>Семантика</t>
        </is>
      </c>
      <c r="D27" s="50" t="inlineStr">
        <is>
          <t xml:space="preserve">Планируется </t>
        </is>
      </c>
      <c r="E27" s="48" t="n">
        <v>4</v>
      </c>
      <c r="F27" s="48" t="n"/>
      <c r="G27" s="50" t="inlineStr">
        <is>
          <t>Мулякин Леонид</t>
        </is>
      </c>
      <c r="H27" s="41" t="n"/>
      <c r="I27" s="53" t="n"/>
    </row>
    <row r="28" outlineLevel="1" s="58">
      <c r="A28" s="57" t="n"/>
      <c r="B28" s="53" t="inlineStr">
        <is>
          <t>Занесение ядра в Топвизор и съём позиций</t>
        </is>
      </c>
      <c r="C28" s="26" t="inlineStr">
        <is>
          <t>Семантика</t>
        </is>
      </c>
      <c r="D28" s="50" t="inlineStr">
        <is>
          <t xml:space="preserve">Планируется </t>
        </is>
      </c>
      <c r="E28" s="48" t="n">
        <v>2</v>
      </c>
      <c r="F28" s="48" t="n"/>
      <c r="G28" s="50" t="inlineStr">
        <is>
          <t>Мулякин Леонид</t>
        </is>
      </c>
      <c r="H28" s="41" t="n"/>
      <c r="I28" s="53" t="n"/>
    </row>
    <row r="29" outlineLevel="1" s="58">
      <c r="A29" s="57" t="n"/>
      <c r="B29" s="53" t="inlineStr">
        <is>
          <t>Разработка расширенной структуры сайта</t>
        </is>
      </c>
      <c r="C29" s="26" t="inlineStr">
        <is>
          <t>Структура</t>
        </is>
      </c>
      <c r="D29" s="50" t="inlineStr">
        <is>
          <t xml:space="preserve">Планируется </t>
        </is>
      </c>
      <c r="E29" s="48" t="n">
        <v>4</v>
      </c>
      <c r="F29" s="48" t="n"/>
      <c r="G29" s="50" t="inlineStr">
        <is>
          <t>Мулякин Леонид</t>
        </is>
      </c>
      <c r="H29" s="41" t="n"/>
      <c r="I29" s="53" t="n"/>
    </row>
    <row r="30">
      <c r="A30" s="57" t="n"/>
      <c r="B30" s="53" t="inlineStr">
        <is>
          <t>ТЗ на реализацию новых разделов</t>
        </is>
      </c>
      <c r="C30" s="26" t="inlineStr">
        <is>
          <t>Структура</t>
        </is>
      </c>
      <c r="D30" s="50" t="inlineStr">
        <is>
          <t xml:space="preserve">Планируется </t>
        </is>
      </c>
      <c r="E30" s="48" t="n">
        <v>3</v>
      </c>
      <c r="F30" s="48" t="n"/>
      <c r="G30" s="50" t="inlineStr">
        <is>
          <t>Мулякин Леонид</t>
        </is>
      </c>
      <c r="H30" s="41" t="n"/>
      <c r="I30" s="53" t="n"/>
    </row>
    <row r="31" outlineLevel="1" s="58">
      <c r="A31" s="57" t="n"/>
      <c r="B31" s="53" t="inlineStr">
        <is>
          <t>ТЗ на доработку по анализу коммерческих факторов</t>
        </is>
      </c>
      <c r="C31" s="26" t="inlineStr">
        <is>
          <t>Структура</t>
        </is>
      </c>
      <c r="D31" s="50" t="inlineStr">
        <is>
          <t xml:space="preserve">Планируется </t>
        </is>
      </c>
      <c r="E31" s="48" t="n">
        <v>3</v>
      </c>
      <c r="F31" s="48" t="n"/>
      <c r="G31" s="50" t="inlineStr">
        <is>
          <t>Мулякин Леонид</t>
        </is>
      </c>
      <c r="H31" s="41" t="n"/>
      <c r="I31" s="53" t="n"/>
    </row>
    <row r="32" outlineLevel="1" s="58">
      <c r="A32" s="57" t="n"/>
      <c r="B32" s="53" t="inlineStr">
        <is>
          <t>Написание метатегов для приоритетных страниц</t>
        </is>
      </c>
      <c r="C32" s="26" t="inlineStr">
        <is>
          <t>Метатеги</t>
        </is>
      </c>
      <c r="D32" s="50" t="inlineStr">
        <is>
          <t xml:space="preserve">Планируется </t>
        </is>
      </c>
      <c r="E32" s="48" t="n">
        <v>4</v>
      </c>
      <c r="F32" s="48" t="n"/>
      <c r="G32" s="50" t="inlineStr">
        <is>
          <t>Мулякин Леонид</t>
        </is>
      </c>
      <c r="H32" s="41" t="n"/>
      <c r="I32" s="53" t="n"/>
    </row>
    <row r="33" outlineLevel="1" s="58">
      <c r="A33" s="57" t="n"/>
      <c r="B33" s="53" t="inlineStr">
        <is>
          <t>Размещение метатегов и проверка сниппетов</t>
        </is>
      </c>
      <c r="C33" s="26" t="inlineStr">
        <is>
          <t>Метатеги</t>
        </is>
      </c>
      <c r="D33" s="50" t="inlineStr">
        <is>
          <t xml:space="preserve">Планируется </t>
        </is>
      </c>
      <c r="E33" s="48" t="n">
        <v>2</v>
      </c>
      <c r="F33" s="48" t="n"/>
      <c r="G33" s="50" t="inlineStr">
        <is>
          <t>Мулякин Леонид</t>
        </is>
      </c>
      <c r="H33" s="41" t="n"/>
      <c r="I33" s="53" t="n"/>
    </row>
    <row r="34" outlineLevel="1" s="58">
      <c r="A34" s="57" t="n"/>
      <c r="B34" s="53" t="inlineStr">
        <is>
          <t>Отчётность и консультации</t>
        </is>
      </c>
      <c r="C34" s="26" t="inlineStr">
        <is>
          <t>Отчётность</t>
        </is>
      </c>
      <c r="D34" s="50" t="inlineStr">
        <is>
          <t xml:space="preserve">Планируется </t>
        </is>
      </c>
      <c r="E34" s="48" t="n">
        <v>1</v>
      </c>
      <c r="F34" s="48" t="n"/>
      <c r="G34" s="50" t="inlineStr">
        <is>
          <t>Мулякин Леонид</t>
        </is>
      </c>
      <c r="H34" s="41" t="n"/>
      <c r="I34" s="53" t="n"/>
    </row>
    <row r="35" outlineLevel="1" s="58">
      <c r="A35" s="56" t="n"/>
      <c r="B35" s="51" t="n"/>
      <c r="C35" s="51" t="n"/>
      <c r="D35" s="52" t="inlineStr">
        <is>
          <t>ИТОГО:</t>
        </is>
      </c>
      <c r="E35" s="47">
        <f>SUM(E24:E34)</f>
        <v/>
      </c>
      <c r="F35" s="47">
        <f>SUM(F24:F34)</f>
        <v/>
      </c>
      <c r="G35" s="21" t="n"/>
      <c r="H35" s="51" t="n"/>
      <c r="I35" s="23" t="n"/>
    </row>
    <row r="36" outlineLevel="1" s="58">
      <c r="A36" s="56" t="inlineStr">
        <is>
          <t>Ноябрь 2026</t>
        </is>
      </c>
      <c r="B36" s="51" t="inlineStr">
        <is>
          <t>Посадочные страницы и контент</t>
        </is>
      </c>
      <c r="C36" s="51" t="n"/>
      <c r="D36" s="21" t="n"/>
      <c r="E36" s="22" t="n"/>
      <c r="F36" s="22" t="n"/>
      <c r="G36" s="21" t="n"/>
      <c r="H36" s="51" t="n"/>
      <c r="I36" s="23" t="n"/>
    </row>
    <row r="37" outlineLevel="1" s="58">
      <c r="A37" s="57" t="n"/>
      <c r="B37" s="53" t="inlineStr">
        <is>
          <t>Создание страниц под виды ремонта</t>
        </is>
      </c>
      <c r="C37" s="26" t="inlineStr">
        <is>
          <t>Посадочные страницы</t>
        </is>
      </c>
      <c r="D37" s="50" t="inlineStr">
        <is>
          <t xml:space="preserve">Планируется </t>
        </is>
      </c>
      <c r="E37" s="48" t="n">
        <v>5</v>
      </c>
      <c r="F37" s="48" t="n"/>
      <c r="G37" s="50" t="inlineStr">
        <is>
          <t>Мулякин Леонид</t>
        </is>
      </c>
      <c r="H37" s="41" t="n"/>
      <c r="I37" s="53" t="n"/>
    </row>
    <row r="38" outlineLevel="1" s="58">
      <c r="A38" s="57" t="n"/>
      <c r="B38" s="53" t="inlineStr">
        <is>
          <t>Создание страниц под типы помещений</t>
        </is>
      </c>
      <c r="C38" s="26" t="inlineStr">
        <is>
          <t>Посадочные страницы</t>
        </is>
      </c>
      <c r="D38" s="50" t="inlineStr">
        <is>
          <t xml:space="preserve">Планируется </t>
        </is>
      </c>
      <c r="E38" s="48" t="n">
        <v>4</v>
      </c>
      <c r="F38" s="48" t="n"/>
      <c r="G38" s="50" t="inlineStr">
        <is>
          <t>Мулякин Леонид</t>
        </is>
      </c>
      <c r="H38" s="41" t="n"/>
      <c r="I38" s="53" t="n"/>
    </row>
    <row r="39" outlineLevel="1" s="58">
      <c r="A39" s="57" t="n"/>
      <c r="B39" s="53" t="inlineStr">
        <is>
          <t>Метатеги и заголовки новых страниц</t>
        </is>
      </c>
      <c r="C39" s="26" t="inlineStr">
        <is>
          <t>Посадочные страницы</t>
        </is>
      </c>
      <c r="D39" s="50" t="inlineStr">
        <is>
          <t xml:space="preserve">Планируется </t>
        </is>
      </c>
      <c r="E39" s="48" t="n">
        <v>3</v>
      </c>
      <c r="F39" s="48" t="n"/>
      <c r="G39" s="50" t="inlineStr">
        <is>
          <t>Мулякин Леонид</t>
        </is>
      </c>
      <c r="H39" s="41" t="n"/>
      <c r="I39" s="53" t="n"/>
    </row>
    <row r="40" outlineLevel="1" s="58">
      <c r="A40" s="57" t="n"/>
      <c r="B40" s="53" t="inlineStr">
        <is>
          <t>ТЗ на тексты для приоритетных страниц</t>
        </is>
      </c>
      <c r="C40" s="26" t="inlineStr">
        <is>
          <t>Контент</t>
        </is>
      </c>
      <c r="D40" s="50" t="inlineStr">
        <is>
          <t xml:space="preserve">Планируется </t>
        </is>
      </c>
      <c r="E40" s="48" t="n">
        <v>4</v>
      </c>
      <c r="F40" s="48" t="n"/>
      <c r="G40" s="50" t="inlineStr">
        <is>
          <t>Мулякин Леонид</t>
        </is>
      </c>
      <c r="H40" s="41" t="n"/>
      <c r="I40" s="53" t="n"/>
    </row>
    <row r="41" outlineLevel="1" s="58">
      <c r="A41" s="57" t="n"/>
      <c r="B41" s="53" t="inlineStr">
        <is>
          <t>Вычитка и размещение текстов</t>
        </is>
      </c>
      <c r="C41" s="26" t="inlineStr">
        <is>
          <t>Контент</t>
        </is>
      </c>
      <c r="D41" s="50" t="inlineStr">
        <is>
          <t xml:space="preserve">Планируется </t>
        </is>
      </c>
      <c r="E41" s="48" t="n">
        <v>4</v>
      </c>
      <c r="F41" s="48" t="n"/>
      <c r="G41" s="50" t="inlineStr">
        <is>
          <t>Мулякин Леонид</t>
        </is>
      </c>
      <c r="H41" s="41" t="n"/>
      <c r="I41" s="53" t="n"/>
    </row>
    <row r="42" outlineLevel="1" s="58">
      <c r="A42" s="57" t="n"/>
      <c r="B42" s="53" t="inlineStr">
        <is>
          <t>Раздел «Портфолио»</t>
        </is>
      </c>
      <c r="C42" s="26" t="inlineStr">
        <is>
          <t>Страницы доверия</t>
        </is>
      </c>
      <c r="D42" s="50" t="inlineStr">
        <is>
          <t xml:space="preserve">Планируется </t>
        </is>
      </c>
      <c r="E42" s="48" t="n">
        <v>3</v>
      </c>
      <c r="F42" s="48" t="n"/>
      <c r="G42" s="50" t="inlineStr">
        <is>
          <t>Мулякин Леонид</t>
        </is>
      </c>
      <c r="H42" s="41" t="n"/>
      <c r="I42" s="53" t="n"/>
    </row>
    <row r="43" outlineLevel="1" s="58">
      <c r="A43" s="57" t="n"/>
      <c r="B43" s="53" t="inlineStr">
        <is>
          <t>Раздел «Отзывы»</t>
        </is>
      </c>
      <c r="C43" s="26" t="inlineStr">
        <is>
          <t>Страницы доверия</t>
        </is>
      </c>
      <c r="D43" s="50" t="inlineStr">
        <is>
          <t xml:space="preserve">Планируется </t>
        </is>
      </c>
      <c r="E43" s="48" t="n">
        <v>2</v>
      </c>
      <c r="F43" s="48" t="n"/>
      <c r="G43" s="50" t="inlineStr">
        <is>
          <t>Мулякин Леонид</t>
        </is>
      </c>
      <c r="H43" s="41" t="n"/>
      <c r="I43" s="53" t="n"/>
    </row>
    <row r="44" outlineLevel="1" s="58">
      <c r="A44" s="57" t="n"/>
      <c r="B44" s="53" t="inlineStr">
        <is>
          <t>Анализ ссылочного профиля и регистрация в справочниках</t>
        </is>
      </c>
      <c r="C44" s="26" t="inlineStr">
        <is>
          <t>Ссылочное</t>
        </is>
      </c>
      <c r="D44" s="50" t="inlineStr">
        <is>
          <t xml:space="preserve">Планируется </t>
        </is>
      </c>
      <c r="E44" s="48" t="n">
        <v>3</v>
      </c>
      <c r="F44" s="48" t="n"/>
      <c r="G44" s="50" t="inlineStr">
        <is>
          <t>Мулякин Леонид</t>
        </is>
      </c>
      <c r="H44" s="41" t="n"/>
      <c r="I44" s="53" t="n"/>
    </row>
    <row r="45">
      <c r="A45" s="57" t="n"/>
      <c r="B45" s="53" t="inlineStr">
        <is>
          <t>Разработка анкор-листа</t>
        </is>
      </c>
      <c r="C45" s="26" t="inlineStr">
        <is>
          <t>Ссылочное</t>
        </is>
      </c>
      <c r="D45" s="50" t="inlineStr">
        <is>
          <t xml:space="preserve">Планируется </t>
        </is>
      </c>
      <c r="E45" s="48" t="n">
        <v>3</v>
      </c>
      <c r="F45" s="48" t="n"/>
      <c r="G45" s="50" t="inlineStr">
        <is>
          <t>Мулякин Леонид</t>
        </is>
      </c>
      <c r="H45" s="41" t="n"/>
      <c r="I45" s="53" t="n"/>
    </row>
    <row r="46" outlineLevel="1" s="58">
      <c r="A46" s="57" t="n"/>
      <c r="B46" s="53" t="inlineStr">
        <is>
          <t>Отчётность и консультации</t>
        </is>
      </c>
      <c r="C46" s="26" t="inlineStr">
        <is>
          <t>Отчётность</t>
        </is>
      </c>
      <c r="D46" s="50" t="inlineStr">
        <is>
          <t xml:space="preserve">Планируется </t>
        </is>
      </c>
      <c r="E46" s="48" t="n">
        <v>1</v>
      </c>
      <c r="F46" s="48" t="n"/>
      <c r="G46" s="50" t="inlineStr">
        <is>
          <t>Мулякин Леонид</t>
        </is>
      </c>
      <c r="H46" s="41" t="n"/>
      <c r="I46" s="53" t="n"/>
    </row>
    <row r="47" outlineLevel="1" s="58">
      <c r="A47" s="56" t="n"/>
      <c r="B47" s="51" t="n"/>
      <c r="C47" s="51" t="n"/>
      <c r="D47" s="52" t="inlineStr">
        <is>
          <t>ИТОГО:</t>
        </is>
      </c>
      <c r="E47" s="47">
        <f>SUM(E37:E46)</f>
        <v/>
      </c>
      <c r="F47" s="47">
        <f>SUM(F37:F46)</f>
        <v/>
      </c>
      <c r="G47" s="21" t="n"/>
      <c r="H47" s="51" t="n"/>
      <c r="I47" s="23" t="n"/>
    </row>
    <row r="48" outlineLevel="1" s="58">
      <c r="A48" s="56" t="inlineStr">
        <is>
          <t>Декабрь 2026</t>
        </is>
      </c>
      <c r="B48" s="51" t="inlineStr">
        <is>
          <t>Микроразметка, навигация, блог</t>
        </is>
      </c>
      <c r="C48" s="51" t="n"/>
      <c r="D48" s="21" t="n"/>
      <c r="E48" s="22" t="n"/>
      <c r="F48" s="22" t="n"/>
      <c r="G48" s="21" t="n"/>
      <c r="H48" s="51" t="n"/>
      <c r="I48" s="23" t="n"/>
    </row>
    <row r="49" outlineLevel="1" s="58">
      <c r="A49" s="57" t="n"/>
      <c r="B49" s="53" t="inlineStr">
        <is>
          <t>Разметка организации и страниц услуг</t>
        </is>
      </c>
      <c r="C49" s="26" t="inlineStr">
        <is>
          <t>Микроразметка</t>
        </is>
      </c>
      <c r="D49" s="50" t="inlineStr">
        <is>
          <t xml:space="preserve">Планируется </t>
        </is>
      </c>
      <c r="E49" s="48" t="n">
        <v>3</v>
      </c>
      <c r="F49" s="48" t="n"/>
      <c r="G49" s="50" t="inlineStr">
        <is>
          <t>Мулякин Леонид</t>
        </is>
      </c>
      <c r="H49" s="41" t="n"/>
      <c r="I49" s="53" t="n"/>
    </row>
    <row r="50" outlineLevel="1" s="58">
      <c r="A50" s="57" t="n"/>
      <c r="B50" s="53" t="inlineStr">
        <is>
          <t>Разметка блоков вопросов и отзывов</t>
        </is>
      </c>
      <c r="C50" s="26" t="inlineStr">
        <is>
          <t>Микроразметка</t>
        </is>
      </c>
      <c r="D50" s="50" t="inlineStr">
        <is>
          <t xml:space="preserve">Планируется </t>
        </is>
      </c>
      <c r="E50" s="48" t="n">
        <v>2</v>
      </c>
      <c r="F50" s="48" t="n"/>
      <c r="G50" s="50" t="inlineStr">
        <is>
          <t>Мулякин Леонид</t>
        </is>
      </c>
      <c r="H50" s="41" t="n"/>
      <c r="I50" s="53" t="n"/>
    </row>
    <row r="51" outlineLevel="1" s="58">
      <c r="A51" s="57" t="n"/>
      <c r="B51" s="53" t="inlineStr">
        <is>
          <t>Внедрение хлебных крошек</t>
        </is>
      </c>
      <c r="C51" s="26" t="inlineStr">
        <is>
          <t>Навигация</t>
        </is>
      </c>
      <c r="D51" s="50" t="inlineStr">
        <is>
          <t xml:space="preserve">Планируется </t>
        </is>
      </c>
      <c r="E51" s="48" t="n">
        <v>2</v>
      </c>
      <c r="F51" s="48" t="n"/>
      <c r="G51" s="50" t="inlineStr">
        <is>
          <t>Мулякин Леонид</t>
        </is>
      </c>
      <c r="H51" s="41" t="n"/>
      <c r="I51" s="53" t="n"/>
    </row>
    <row r="52" outlineLevel="1" s="58">
      <c r="A52" s="57" t="n"/>
      <c r="B52" s="53" t="inlineStr">
        <is>
          <t>Тематическая перелинковка</t>
        </is>
      </c>
      <c r="C52" s="26" t="inlineStr">
        <is>
          <t>Навигация</t>
        </is>
      </c>
      <c r="D52" s="50" t="inlineStr">
        <is>
          <t xml:space="preserve">Планируется </t>
        </is>
      </c>
      <c r="E52" s="48" t="n">
        <v>3</v>
      </c>
      <c r="F52" s="48" t="n"/>
      <c r="G52" s="50" t="inlineStr">
        <is>
          <t>Мулякин Леонид</t>
        </is>
      </c>
      <c r="H52" s="41" t="n"/>
      <c r="I52" s="53" t="n"/>
    </row>
    <row r="53" outlineLevel="1" s="58">
      <c r="A53" s="57" t="n"/>
      <c r="B53" s="53" t="inlineStr">
        <is>
          <t>Внедрение недостающих коммерческих блоков</t>
        </is>
      </c>
      <c r="C53" s="26" t="inlineStr">
        <is>
          <t>Коммерческие факторы</t>
        </is>
      </c>
      <c r="D53" s="50" t="inlineStr">
        <is>
          <t xml:space="preserve">Планируется </t>
        </is>
      </c>
      <c r="E53" s="48" t="n">
        <v>4</v>
      </c>
      <c r="F53" s="48" t="n"/>
      <c r="G53" s="50" t="inlineStr">
        <is>
          <t>Мулякин Леонид</t>
        </is>
      </c>
      <c r="H53" s="41" t="n"/>
      <c r="I53" s="53" t="n"/>
    </row>
    <row r="54" outlineLevel="1" s="58">
      <c r="A54" s="57" t="n"/>
      <c r="B54" s="53" t="inlineStr">
        <is>
          <t>Доработка форм захвата и квиз-калькуляторов</t>
        </is>
      </c>
      <c r="C54" s="26" t="inlineStr">
        <is>
          <t>Коммерческие факторы</t>
        </is>
      </c>
      <c r="D54" s="50" t="inlineStr">
        <is>
          <t xml:space="preserve">Планируется </t>
        </is>
      </c>
      <c r="E54" s="48" t="n">
        <v>4</v>
      </c>
      <c r="F54" s="48" t="n"/>
      <c r="G54" s="50" t="inlineStr">
        <is>
          <t>Мулякин Леонид</t>
        </is>
      </c>
      <c r="H54" s="41" t="n"/>
      <c r="I54" s="53" t="n"/>
    </row>
    <row r="55" outlineLevel="1" s="58">
      <c r="A55" s="57" t="n"/>
      <c r="B55" s="53" t="inlineStr">
        <is>
          <t>Контент-план по информационным запросам</t>
        </is>
      </c>
      <c r="C55" s="26" t="inlineStr">
        <is>
          <t>Блог</t>
        </is>
      </c>
      <c r="D55" s="50" t="inlineStr">
        <is>
          <t xml:space="preserve">Планируется </t>
        </is>
      </c>
      <c r="E55" s="48" t="n">
        <v>4</v>
      </c>
      <c r="F55" s="48" t="n"/>
      <c r="G55" s="50" t="inlineStr">
        <is>
          <t>Мулякин Леонид</t>
        </is>
      </c>
      <c r="H55" s="41" t="n"/>
      <c r="I55" s="53" t="n"/>
    </row>
    <row r="56" outlineLevel="1" s="58">
      <c r="A56" s="57" t="n"/>
      <c r="B56" s="53" t="inlineStr">
        <is>
          <t>Подготовка и размещение статей</t>
        </is>
      </c>
      <c r="C56" s="26" t="inlineStr">
        <is>
          <t>Блог</t>
        </is>
      </c>
      <c r="D56" s="50" t="inlineStr">
        <is>
          <t xml:space="preserve">Планируется </t>
        </is>
      </c>
      <c r="E56" s="48" t="n">
        <v>5</v>
      </c>
      <c r="F56" s="48" t="n"/>
      <c r="G56" s="50" t="inlineStr">
        <is>
          <t>Мулякин Леонид</t>
        </is>
      </c>
      <c r="H56" s="41" t="n"/>
      <c r="I56" s="53" t="n"/>
    </row>
    <row r="57" outlineLevel="1" s="58">
      <c r="A57" s="57" t="n"/>
      <c r="B57" s="53" t="inlineStr">
        <is>
          <t>Подбор доноров и размещение материалов</t>
        </is>
      </c>
      <c r="C57" s="26" t="inlineStr">
        <is>
          <t>Ссылочное</t>
        </is>
      </c>
      <c r="D57" s="50" t="inlineStr">
        <is>
          <t xml:space="preserve">Планируется </t>
        </is>
      </c>
      <c r="E57" s="48" t="n">
        <v>4</v>
      </c>
      <c r="F57" s="48" t="n"/>
      <c r="G57" s="50" t="inlineStr">
        <is>
          <t>Мулякин Леонид</t>
        </is>
      </c>
      <c r="H57" s="41" t="n"/>
      <c r="I57" s="53" t="n"/>
    </row>
    <row r="58" outlineLevel="1" s="58">
      <c r="A58" s="57" t="n"/>
      <c r="B58" s="53" t="inlineStr">
        <is>
          <t>Отчётность и консультации</t>
        </is>
      </c>
      <c r="C58" s="26" t="inlineStr">
        <is>
          <t>Отчётность</t>
        </is>
      </c>
      <c r="D58" s="50" t="inlineStr">
        <is>
          <t xml:space="preserve">Планируется </t>
        </is>
      </c>
      <c r="E58" s="48" t="n">
        <v>1</v>
      </c>
      <c r="F58" s="48" t="n"/>
      <c r="G58" s="50" t="inlineStr">
        <is>
          <t>Мулякин Леонид</t>
        </is>
      </c>
      <c r="H58" s="41" t="n"/>
      <c r="I58" s="53" t="n"/>
    </row>
    <row r="59" outlineLevel="1" s="58">
      <c r="A59" s="56" t="n"/>
      <c r="B59" s="51" t="n"/>
      <c r="C59" s="51" t="n"/>
      <c r="D59" s="52" t="inlineStr">
        <is>
          <t>ИТОГО:</t>
        </is>
      </c>
      <c r="E59" s="47">
        <f>SUM(E49:E58)</f>
        <v/>
      </c>
      <c r="F59" s="47">
        <f>SUM(F49:F58)</f>
        <v/>
      </c>
      <c r="G59" s="21" t="n"/>
      <c r="H59" s="51" t="n"/>
      <c r="I59" s="23" t="n"/>
    </row>
    <row r="60" outlineLevel="1" s="58">
      <c r="A60" s="56" t="inlineStr">
        <is>
          <t>Январь 2027</t>
        </is>
      </c>
      <c r="B60" s="51" t="inlineStr">
        <is>
          <t>Масштабирование структуры и ссылочное</t>
        </is>
      </c>
      <c r="C60" s="51" t="n"/>
      <c r="D60" s="21" t="n"/>
      <c r="E60" s="22" t="n"/>
      <c r="F60" s="22" t="n"/>
      <c r="G60" s="21" t="n"/>
      <c r="H60" s="51" t="n"/>
      <c r="I60" s="23" t="n"/>
    </row>
    <row r="61" outlineLevel="1" s="58">
      <c r="A61" s="57" t="n"/>
      <c r="B61" s="53" t="inlineStr">
        <is>
          <t>Страницы под ценовые сегменты и форматы работ</t>
        </is>
      </c>
      <c r="C61" s="26" t="inlineStr">
        <is>
          <t>Структура, вторая волна</t>
        </is>
      </c>
      <c r="D61" s="50" t="inlineStr">
        <is>
          <t xml:space="preserve">Планируется </t>
        </is>
      </c>
      <c r="E61" s="48" t="n">
        <v>5</v>
      </c>
      <c r="F61" s="48" t="n"/>
      <c r="G61" s="50" t="inlineStr">
        <is>
          <t>Мулякин Леонид</t>
        </is>
      </c>
      <c r="H61" s="41" t="n"/>
      <c r="I61" s="53" t="n"/>
    </row>
    <row r="62" outlineLevel="1" s="58">
      <c r="A62" s="57" t="n"/>
      <c r="B62" s="53" t="inlineStr">
        <is>
          <t>Геозависимые страницы по районам Москвы и области</t>
        </is>
      </c>
      <c r="C62" s="26" t="inlineStr">
        <is>
          <t>Структура, вторая волна</t>
        </is>
      </c>
      <c r="D62" s="50" t="inlineStr">
        <is>
          <t xml:space="preserve">Планируется </t>
        </is>
      </c>
      <c r="E62" s="48" t="n">
        <v>5</v>
      </c>
      <c r="F62" s="48" t="n"/>
      <c r="G62" s="50" t="inlineStr">
        <is>
          <t>Мулякин Леонид</t>
        </is>
      </c>
      <c r="H62" s="41" t="n"/>
      <c r="I62" s="53" t="n"/>
    </row>
    <row r="63" outlineLevel="1" s="58">
      <c r="A63" s="57" t="n"/>
      <c r="B63" s="53" t="inlineStr">
        <is>
          <t>Метатеги и тексты для новых страниц</t>
        </is>
      </c>
      <c r="C63" s="26" t="inlineStr">
        <is>
          <t>Структура, вторая волна</t>
        </is>
      </c>
      <c r="D63" s="50" t="inlineStr">
        <is>
          <t xml:space="preserve">Планируется </t>
        </is>
      </c>
      <c r="E63" s="48" t="n">
        <v>4</v>
      </c>
      <c r="F63" s="48" t="n"/>
      <c r="G63" s="50" t="inlineStr">
        <is>
          <t>Мулякин Леонид</t>
        </is>
      </c>
      <c r="H63" s="41" t="n"/>
      <c r="I63" s="53" t="n"/>
    </row>
    <row r="64" outlineLevel="1" s="58">
      <c r="A64" s="57" t="n"/>
      <c r="B64" s="53" t="inlineStr">
        <is>
          <t>Публикация статей по контент-плану</t>
        </is>
      </c>
      <c r="C64" s="26" t="inlineStr">
        <is>
          <t>Блог</t>
        </is>
      </c>
      <c r="D64" s="50" t="inlineStr">
        <is>
          <t xml:space="preserve">Планируется </t>
        </is>
      </c>
      <c r="E64" s="48" t="n">
        <v>4</v>
      </c>
      <c r="F64" s="48" t="n"/>
      <c r="G64" s="50" t="inlineStr">
        <is>
          <t>Мулякин Леонид</t>
        </is>
      </c>
      <c r="H64" s="41" t="n"/>
      <c r="I64" s="53" t="n"/>
    </row>
    <row r="65" outlineLevel="1" s="58">
      <c r="A65" s="57" t="n"/>
      <c r="B65" s="53" t="inlineStr">
        <is>
          <t>Расширение блоков FAQ на коммерческих страницах</t>
        </is>
      </c>
      <c r="C65" s="26" t="inlineStr">
        <is>
          <t>Контент</t>
        </is>
      </c>
      <c r="D65" s="50" t="inlineStr">
        <is>
          <t xml:space="preserve">Планируется </t>
        </is>
      </c>
      <c r="E65" s="48" t="n">
        <v>3</v>
      </c>
      <c r="F65" s="48" t="n"/>
      <c r="G65" s="50" t="inlineStr">
        <is>
          <t>Мулякин Леонид</t>
        </is>
      </c>
      <c r="H65" s="41" t="n"/>
      <c r="I65" s="53" t="n"/>
    </row>
    <row r="66" outlineLevel="1" s="58">
      <c r="A66" s="57" t="n"/>
      <c r="B66" s="53" t="inlineStr">
        <is>
          <t>Наращивание ссылочной массы</t>
        </is>
      </c>
      <c r="C66" s="26" t="inlineStr">
        <is>
          <t>Ссылочное</t>
        </is>
      </c>
      <c r="D66" s="50" t="inlineStr">
        <is>
          <t xml:space="preserve">Планируется </t>
        </is>
      </c>
      <c r="E66" s="48" t="n">
        <v>4</v>
      </c>
      <c r="F66" s="48" t="n"/>
      <c r="G66" s="50" t="inlineStr">
        <is>
          <t>Мулякин Леонид</t>
        </is>
      </c>
      <c r="H66" s="41" t="n"/>
      <c r="I66" s="53" t="n"/>
    </row>
    <row r="67" outlineLevel="1" s="58">
      <c r="A67" s="57" t="n"/>
      <c r="B67" s="53" t="inlineStr">
        <is>
          <t>Контроль качества ссылочного профиля</t>
        </is>
      </c>
      <c r="C67" s="26" t="inlineStr">
        <is>
          <t>Ссылочное</t>
        </is>
      </c>
      <c r="D67" s="50" t="inlineStr">
        <is>
          <t xml:space="preserve">Планируется </t>
        </is>
      </c>
      <c r="E67" s="48" t="n">
        <v>2</v>
      </c>
      <c r="F67" s="48" t="n"/>
      <c r="G67" s="50" t="inlineStr">
        <is>
          <t>Мулякин Леонид</t>
        </is>
      </c>
      <c r="H67" s="41" t="n"/>
      <c r="I67" s="53" t="n"/>
    </row>
    <row r="68" outlineLevel="1" s="58">
      <c r="A68" s="57" t="n"/>
      <c r="B68" s="53" t="inlineStr">
        <is>
          <t>Отбор запросов под поведенческие факторы</t>
        </is>
      </c>
      <c r="C68" s="26" t="inlineStr">
        <is>
          <t>Поведенческие</t>
        </is>
      </c>
      <c r="D68" s="50" t="inlineStr">
        <is>
          <t xml:space="preserve">Планируется </t>
        </is>
      </c>
      <c r="E68" s="48" t="n">
        <v>2</v>
      </c>
      <c r="F68" s="48" t="n"/>
      <c r="G68" s="50" t="inlineStr">
        <is>
          <t>Мулякин Леонид</t>
        </is>
      </c>
      <c r="H68" s="41" t="n"/>
      <c r="I68" s="53" t="n"/>
    </row>
    <row r="69" outlineLevel="1" s="58">
      <c r="A69" s="57" t="n"/>
      <c r="B69" s="53" t="inlineStr">
        <is>
          <t>Запуск запросов в работу и контроль динамики</t>
        </is>
      </c>
      <c r="C69" s="26" t="inlineStr">
        <is>
          <t>Поведенческие</t>
        </is>
      </c>
      <c r="D69" s="50" t="inlineStr">
        <is>
          <t xml:space="preserve">Планируется </t>
        </is>
      </c>
      <c r="E69" s="48" t="n">
        <v>2</v>
      </c>
      <c r="F69" s="48" t="n"/>
      <c r="G69" s="50" t="inlineStr">
        <is>
          <t>Мулякин Леонид</t>
        </is>
      </c>
      <c r="H69" s="41" t="n"/>
      <c r="I69" s="53" t="n"/>
    </row>
    <row r="70" outlineLevel="1" s="58">
      <c r="A70" s="57" t="n"/>
      <c r="B70" s="53" t="inlineStr">
        <is>
          <t>Отчётность и консультации</t>
        </is>
      </c>
      <c r="C70" s="26" t="inlineStr">
        <is>
          <t>Отчётность</t>
        </is>
      </c>
      <c r="D70" s="50" t="inlineStr">
        <is>
          <t xml:space="preserve">Планируется </t>
        </is>
      </c>
      <c r="E70" s="48" t="n">
        <v>1</v>
      </c>
      <c r="F70" s="48" t="n"/>
      <c r="G70" s="50" t="inlineStr">
        <is>
          <t>Мулякин Леонид</t>
        </is>
      </c>
      <c r="H70" s="41" t="n"/>
      <c r="I70" s="53" t="n"/>
    </row>
    <row r="71" outlineLevel="1" s="58">
      <c r="A71" s="56" t="n"/>
      <c r="B71" s="51" t="n"/>
      <c r="C71" s="51" t="n"/>
      <c r="D71" s="52" t="inlineStr">
        <is>
          <t>ИТОГО:</t>
        </is>
      </c>
      <c r="E71" s="47">
        <f>SUM(E61:E70)</f>
        <v/>
      </c>
      <c r="F71" s="47">
        <f>SUM(F61:F70)</f>
        <v/>
      </c>
      <c r="G71" s="21" t="n"/>
      <c r="H71" s="51" t="n"/>
      <c r="I71" s="23" t="n"/>
    </row>
    <row r="72" outlineLevel="1" s="58">
      <c r="A72" s="56" t="inlineStr">
        <is>
          <t>Февраль 2027</t>
        </is>
      </c>
      <c r="B72" s="51" t="inlineStr">
        <is>
          <t>Аналитика результатов и доработка</t>
        </is>
      </c>
      <c r="C72" s="51" t="n"/>
      <c r="D72" s="21" t="n"/>
      <c r="E72" s="22" t="n"/>
      <c r="F72" s="22" t="n"/>
      <c r="G72" s="21" t="n"/>
      <c r="H72" s="51" t="n"/>
      <c r="I72" s="23" t="n"/>
    </row>
    <row r="73" outlineLevel="1" s="58">
      <c r="A73" s="57" t="n"/>
      <c r="B73" s="53" t="inlineStr">
        <is>
          <t>Анализ динамики позиций и трафика за период</t>
        </is>
      </c>
      <c r="C73" s="26" t="inlineStr">
        <is>
          <t>Аналитика</t>
        </is>
      </c>
      <c r="D73" s="50" t="inlineStr">
        <is>
          <t xml:space="preserve">Планируется </t>
        </is>
      </c>
      <c r="E73" s="48" t="n">
        <v>4</v>
      </c>
      <c r="F73" s="48" t="n"/>
      <c r="G73" s="50" t="inlineStr">
        <is>
          <t>Мулякин Леонид</t>
        </is>
      </c>
      <c r="H73" s="41" t="n"/>
      <c r="I73" s="53" t="n"/>
    </row>
    <row r="74" outlineLevel="1" s="58">
      <c r="A74" s="57" t="n"/>
      <c r="B74" s="53" t="inlineStr">
        <is>
          <t>Доработка недоранжирующих страниц</t>
        </is>
      </c>
      <c r="C74" s="26" t="inlineStr">
        <is>
          <t>Аналитика</t>
        </is>
      </c>
      <c r="D74" s="50" t="inlineStr">
        <is>
          <t xml:space="preserve">Планируется </t>
        </is>
      </c>
      <c r="E74" s="48" t="n">
        <v>4</v>
      </c>
      <c r="F74" s="48" t="n"/>
      <c r="G74" s="50" t="inlineStr">
        <is>
          <t>Мулякин Леонид</t>
        </is>
      </c>
      <c r="H74" s="41" t="n"/>
      <c r="I74" s="53" t="n"/>
    </row>
    <row r="75" outlineLevel="1" s="58">
      <c r="A75" s="57" t="n"/>
      <c r="B75" s="53" t="inlineStr">
        <is>
          <t>Актуализация семантического ядра</t>
        </is>
      </c>
      <c r="C75" s="26" t="inlineStr">
        <is>
          <t>Аналитика</t>
        </is>
      </c>
      <c r="D75" s="50" t="inlineStr">
        <is>
          <t xml:space="preserve">Планируется </t>
        </is>
      </c>
      <c r="E75" s="48" t="n">
        <v>3</v>
      </c>
      <c r="F75" s="48" t="n"/>
      <c r="G75" s="50" t="inlineStr">
        <is>
          <t>Мулякин Леонид</t>
        </is>
      </c>
      <c r="H75" s="41" t="n"/>
      <c r="I75" s="53" t="n"/>
    </row>
    <row r="76" outlineLevel="1" s="58">
      <c r="A76" s="57" t="n"/>
      <c r="B76" s="53" t="inlineStr">
        <is>
          <t>Повторный технический аудит</t>
        </is>
      </c>
      <c r="C76" s="26" t="inlineStr">
        <is>
          <t>Технический контроль</t>
        </is>
      </c>
      <c r="D76" s="50" t="inlineStr">
        <is>
          <t xml:space="preserve">Планируется </t>
        </is>
      </c>
      <c r="E76" s="48" t="n">
        <v>4</v>
      </c>
      <c r="F76" s="48" t="n"/>
      <c r="G76" s="50" t="inlineStr">
        <is>
          <t>Мулякин Леонид</t>
        </is>
      </c>
      <c r="H76" s="41" t="n"/>
      <c r="I76" s="53" t="n"/>
    </row>
    <row r="77" outlineLevel="1" s="58">
      <c r="A77" s="57" t="n"/>
      <c r="B77" s="53" t="inlineStr">
        <is>
          <t>Оптимизация скорости загрузки</t>
        </is>
      </c>
      <c r="C77" s="26" t="inlineStr">
        <is>
          <t>Технический контроль</t>
        </is>
      </c>
      <c r="D77" s="50" t="inlineStr">
        <is>
          <t xml:space="preserve">Планируется </t>
        </is>
      </c>
      <c r="E77" s="48" t="n">
        <v>3</v>
      </c>
      <c r="F77" s="48" t="n"/>
      <c r="G77" s="50" t="inlineStr">
        <is>
          <t>Мулякин Леонид</t>
        </is>
      </c>
      <c r="H77" s="41" t="n"/>
      <c r="I77" s="53" t="n"/>
    </row>
    <row r="78" outlineLevel="1" s="58">
      <c r="A78" s="57" t="n"/>
      <c r="B78" s="53" t="inlineStr">
        <is>
          <t>Публикация статей по контент-плану</t>
        </is>
      </c>
      <c r="C78" s="26" t="inlineStr">
        <is>
          <t>Блог</t>
        </is>
      </c>
      <c r="D78" s="50" t="inlineStr">
        <is>
          <t xml:space="preserve">Планируется </t>
        </is>
      </c>
      <c r="E78" s="48" t="n">
        <v>4</v>
      </c>
      <c r="F78" s="48" t="n"/>
      <c r="G78" s="50" t="inlineStr">
        <is>
          <t>Мулякин Леонид</t>
        </is>
      </c>
      <c r="H78" s="41" t="n"/>
      <c r="I78" s="53" t="n"/>
    </row>
    <row r="79">
      <c r="A79" s="57" t="n"/>
      <c r="B79" s="53" t="inlineStr">
        <is>
          <t>Обновление ранее размещённых материалов</t>
        </is>
      </c>
      <c r="C79" s="26" t="inlineStr">
        <is>
          <t>Контент</t>
        </is>
      </c>
      <c r="D79" s="50" t="inlineStr">
        <is>
          <t xml:space="preserve">Планируется </t>
        </is>
      </c>
      <c r="E79" s="48" t="n">
        <v>3</v>
      </c>
      <c r="F79" s="48" t="n"/>
      <c r="G79" s="50" t="inlineStr">
        <is>
          <t>Мулякин Леонид</t>
        </is>
      </c>
      <c r="H79" s="41" t="n"/>
      <c r="I79" s="53" t="n"/>
    </row>
    <row r="80" outlineLevel="1" s="58">
      <c r="A80" s="57" t="n"/>
      <c r="B80" s="53" t="inlineStr">
        <is>
          <t>Наращивание ссылочной массы</t>
        </is>
      </c>
      <c r="C80" s="26" t="inlineStr">
        <is>
          <t>Ссылочное</t>
        </is>
      </c>
      <c r="D80" s="50" t="inlineStr">
        <is>
          <t xml:space="preserve">Планируется </t>
        </is>
      </c>
      <c r="E80" s="48" t="n">
        <v>3</v>
      </c>
      <c r="F80" s="48" t="n"/>
      <c r="G80" s="50" t="inlineStr">
        <is>
          <t>Мулякин Леонид</t>
        </is>
      </c>
      <c r="H80" s="41" t="n"/>
      <c r="I80" s="53" t="n"/>
    </row>
    <row r="81" outlineLevel="1" s="58">
      <c r="A81" s="57" t="n"/>
      <c r="B81" s="53" t="inlineStr">
        <is>
          <t>Оценка эффективности размещений</t>
        </is>
      </c>
      <c r="C81" s="26" t="inlineStr">
        <is>
          <t>Ссылочное</t>
        </is>
      </c>
      <c r="D81" s="50" t="inlineStr">
        <is>
          <t xml:space="preserve">Планируется </t>
        </is>
      </c>
      <c r="E81" s="48" t="n">
        <v>1</v>
      </c>
      <c r="F81" s="48" t="n"/>
      <c r="G81" s="50" t="inlineStr">
        <is>
          <t>Мулякин Леонид</t>
        </is>
      </c>
      <c r="H81" s="41" t="n"/>
      <c r="I81" s="53" t="n"/>
    </row>
    <row r="82" outlineLevel="1" s="58">
      <c r="A82" s="57" t="n"/>
      <c r="B82" s="53" t="inlineStr">
        <is>
          <t>Продолжение работы с поведенческими факторами</t>
        </is>
      </c>
      <c r="C82" s="26" t="inlineStr">
        <is>
          <t>Поведенческие</t>
        </is>
      </c>
      <c r="D82" s="50" t="inlineStr">
        <is>
          <t xml:space="preserve">Планируется </t>
        </is>
      </c>
      <c r="E82" s="48" t="n">
        <v>1</v>
      </c>
      <c r="F82" s="48" t="n"/>
      <c r="G82" s="50" t="inlineStr">
        <is>
          <t>Мулякин Леонид</t>
        </is>
      </c>
      <c r="H82" s="41" t="n"/>
      <c r="I82" s="53" t="n"/>
    </row>
    <row r="83" outlineLevel="1" s="58">
      <c r="A83" s="57" t="n"/>
      <c r="B83" s="53" t="inlineStr">
        <is>
          <t>Отчёт по итогам полугодия</t>
        </is>
      </c>
      <c r="C83" s="26" t="inlineStr">
        <is>
          <t>Отчётность</t>
        </is>
      </c>
      <c r="D83" s="50" t="inlineStr">
        <is>
          <t xml:space="preserve">Планируется </t>
        </is>
      </c>
      <c r="E83" s="48" t="n">
        <v>1</v>
      </c>
      <c r="F83" s="48" t="n"/>
      <c r="G83" s="50" t="inlineStr">
        <is>
          <t>Мулякин Леонид</t>
        </is>
      </c>
      <c r="H83" s="41" t="n"/>
      <c r="I83" s="53" t="n"/>
    </row>
    <row r="84" outlineLevel="1" s="58">
      <c r="A84" s="57" t="n"/>
      <c r="B84" s="53" t="inlineStr">
        <is>
          <t>Формирование стратегии на следующий период</t>
        </is>
      </c>
      <c r="C84" s="26" t="inlineStr">
        <is>
          <t>Отчётность</t>
        </is>
      </c>
      <c r="D84" s="50" t="inlineStr">
        <is>
          <t xml:space="preserve">Планируется </t>
        </is>
      </c>
      <c r="E84" s="48" t="n">
        <v>1</v>
      </c>
      <c r="F84" s="48" t="n"/>
      <c r="G84" s="50" t="inlineStr">
        <is>
          <t>Мулякин Леонид</t>
        </is>
      </c>
      <c r="H84" s="41" t="n"/>
      <c r="I84" s="53" t="n"/>
    </row>
    <row r="85" outlineLevel="1" s="58">
      <c r="A85" s="56" t="n"/>
      <c r="B85" s="51" t="n"/>
      <c r="C85" s="51" t="n"/>
      <c r="D85" s="52" t="inlineStr">
        <is>
          <t>ИТОГО:</t>
        </is>
      </c>
      <c r="E85" s="47">
        <f>SUM(E73:E84)</f>
        <v/>
      </c>
      <c r="F85" s="47">
        <f>SUM(F73:F84)</f>
        <v/>
      </c>
      <c r="G85" s="21" t="n"/>
      <c r="H85" s="51" t="n"/>
      <c r="I85" s="23" t="n"/>
    </row>
    <row r="86" outlineLevel="1" s="58">
      <c r="A86" s="56" t="n"/>
      <c r="B86" s="51" t="inlineStr">
        <is>
          <t>Итого за 6 месяцев</t>
        </is>
      </c>
      <c r="C86" s="51" t="n"/>
      <c r="D86" s="52" t="inlineStr">
        <is>
          <t>ИТОГО:</t>
        </is>
      </c>
      <c r="E86" s="47">
        <f>E22+E35+E47+E59+E71+E85</f>
        <v/>
      </c>
      <c r="F86" s="47">
        <f>F22+F35+F47+F59+F71+F85</f>
        <v/>
      </c>
      <c r="G86" s="21" t="n"/>
      <c r="H86" s="51" t="n"/>
      <c r="I86" s="23" t="n"/>
    </row>
    <row r="87" outlineLevel="1" s="58">
      <c r="A87" s="57" t="n"/>
      <c r="B87" s="53" t="n"/>
      <c r="C87" s="26" t="n"/>
      <c r="D87" s="50" t="n"/>
      <c r="E87" s="48" t="n"/>
      <c r="F87" s="48" t="n"/>
      <c r="G87" s="50" t="n"/>
      <c r="H87" s="41" t="n"/>
      <c r="I87" s="53" t="n"/>
    </row>
    <row r="88" outlineLevel="1" s="58">
      <c r="A88" s="57" t="n"/>
      <c r="B88" s="53" t="n"/>
      <c r="C88" s="26" t="n"/>
      <c r="D88" s="50" t="n"/>
      <c r="E88" s="48" t="n"/>
      <c r="F88" s="48" t="n"/>
      <c r="G88" s="50" t="n"/>
      <c r="H88" s="41" t="n"/>
      <c r="I88" s="53" t="n"/>
    </row>
    <row r="89" outlineLevel="1" s="58">
      <c r="A89" s="57" t="n"/>
      <c r="B89" s="53" t="n"/>
      <c r="C89" s="26" t="n"/>
      <c r="D89" s="50" t="n"/>
      <c r="E89" s="48" t="n"/>
      <c r="F89" s="48" t="n"/>
      <c r="G89" s="50" t="n"/>
      <c r="H89" s="41" t="n"/>
      <c r="I89" s="53" t="n"/>
    </row>
    <row r="90" outlineLevel="1" s="58">
      <c r="A90" s="57" t="n"/>
      <c r="B90" s="53" t="n"/>
      <c r="C90" s="26" t="n"/>
      <c r="D90" s="50" t="n"/>
      <c r="E90" s="48" t="n"/>
      <c r="F90" s="48" t="n"/>
      <c r="G90" s="50" t="n"/>
      <c r="H90" s="41" t="n"/>
      <c r="I90" s="53" t="n"/>
    </row>
    <row r="91" outlineLevel="1" s="58">
      <c r="A91" s="57" t="n"/>
      <c r="B91" s="53" t="n"/>
      <c r="C91" s="26" t="n"/>
      <c r="D91" s="50" t="n"/>
      <c r="E91" s="48" t="n"/>
      <c r="F91" s="48" t="n"/>
      <c r="G91" s="50" t="n"/>
      <c r="H91" s="41" t="n"/>
      <c r="I91" s="53" t="n"/>
    </row>
    <row r="92">
      <c r="A92" s="57" t="n"/>
      <c r="B92" s="53" t="n"/>
      <c r="C92" s="26" t="n"/>
      <c r="D92" s="50" t="n"/>
      <c r="E92" s="48" t="n"/>
      <c r="F92" s="48" t="n"/>
      <c r="G92" s="50" t="n"/>
      <c r="H92" s="41" t="n"/>
      <c r="I92" s="53" t="n"/>
    </row>
    <row r="93" outlineLevel="1" s="58">
      <c r="A93" s="57" t="n"/>
      <c r="B93" s="53" t="n"/>
      <c r="C93" s="26" t="n"/>
      <c r="D93" s="50" t="n"/>
      <c r="E93" s="48" t="n"/>
      <c r="F93" s="48" t="n"/>
      <c r="G93" s="50" t="n"/>
      <c r="H93" s="41" t="n"/>
      <c r="I93" s="53" t="n"/>
    </row>
    <row r="94" outlineLevel="1" s="58">
      <c r="A94" s="57" t="n"/>
      <c r="B94" s="53" t="n"/>
      <c r="C94" s="26" t="n"/>
      <c r="D94" s="50" t="n"/>
      <c r="E94" s="48" t="n"/>
      <c r="F94" s="48" t="n"/>
      <c r="G94" s="50" t="n"/>
      <c r="H94" s="41" t="n"/>
      <c r="I94" s="53" t="n"/>
    </row>
    <row r="95" outlineLevel="1" s="58">
      <c r="A95" s="57" t="n"/>
      <c r="B95" s="53" t="n"/>
      <c r="C95" s="26" t="n"/>
      <c r="D95" s="50" t="n"/>
      <c r="E95" s="48" t="n"/>
      <c r="F95" s="48" t="n"/>
      <c r="G95" s="50" t="n"/>
      <c r="H95" s="41" t="n"/>
      <c r="I95" s="53" t="n"/>
    </row>
    <row r="96" outlineLevel="1" s="58">
      <c r="A96" s="57" t="n"/>
      <c r="B96" s="53" t="n"/>
      <c r="C96" s="26" t="n"/>
      <c r="D96" s="50" t="n"/>
      <c r="E96" s="48" t="n"/>
      <c r="F96" s="48" t="n"/>
      <c r="G96" s="50" t="n"/>
      <c r="H96" s="41" t="n"/>
      <c r="I96" s="53" t="n"/>
    </row>
    <row r="97" outlineLevel="1" s="58">
      <c r="A97" s="57" t="n"/>
      <c r="B97" s="53" t="n"/>
      <c r="C97" s="26" t="n"/>
      <c r="D97" s="50" t="n"/>
      <c r="E97" s="48" t="n"/>
      <c r="F97" s="48" t="n"/>
      <c r="G97" s="50" t="n"/>
      <c r="H97" s="41" t="n"/>
      <c r="I97" s="53" t="n"/>
    </row>
    <row r="98" outlineLevel="1" s="58">
      <c r="A98" s="57" t="n"/>
      <c r="B98" s="53" t="n"/>
      <c r="C98" s="26" t="n"/>
      <c r="D98" s="50" t="n"/>
      <c r="E98" s="48" t="n"/>
      <c r="F98" s="48" t="n"/>
      <c r="G98" s="50" t="n"/>
      <c r="H98" s="41" t="n"/>
      <c r="I98" s="53" t="n"/>
    </row>
    <row r="99" outlineLevel="1" s="58">
      <c r="A99" s="57" t="n"/>
      <c r="B99" s="53" t="n"/>
      <c r="C99" s="26" t="n"/>
      <c r="D99" s="50" t="n"/>
      <c r="E99" s="48" t="n"/>
      <c r="F99" s="48" t="n"/>
      <c r="G99" s="50" t="n"/>
      <c r="H99" s="41" t="n"/>
      <c r="I99" s="53" t="n"/>
    </row>
    <row r="100">
      <c r="A100" s="57" t="n"/>
      <c r="B100" s="53" t="n"/>
      <c r="C100" s="26" t="n"/>
      <c r="D100" s="50" t="n"/>
      <c r="E100" s="48" t="n"/>
      <c r="F100" s="48" t="n"/>
      <c r="G100" s="50" t="n"/>
      <c r="H100" s="41" t="n"/>
      <c r="I100" s="53" t="n"/>
    </row>
    <row r="101" outlineLevel="1" s="58">
      <c r="A101" s="57" t="n"/>
      <c r="B101" s="53" t="n"/>
      <c r="C101" s="26" t="n"/>
      <c r="D101" s="50" t="n"/>
      <c r="E101" s="48" t="n"/>
      <c r="F101" s="48" t="n"/>
      <c r="G101" s="50" t="n"/>
      <c r="H101" s="41" t="n"/>
      <c r="I101" s="53" t="n"/>
    </row>
    <row r="102" outlineLevel="1" s="58">
      <c r="A102" s="57" t="n"/>
      <c r="B102" s="53" t="n"/>
      <c r="C102" s="26" t="n"/>
      <c r="D102" s="50" t="n"/>
      <c r="E102" s="48" t="n"/>
      <c r="F102" s="48" t="n"/>
      <c r="G102" s="50" t="n"/>
      <c r="H102" s="41" t="n"/>
      <c r="I102" s="53" t="n"/>
    </row>
    <row r="103" outlineLevel="1" s="58">
      <c r="A103" s="57" t="n"/>
      <c r="B103" s="53" t="n"/>
      <c r="C103" s="26" t="n"/>
      <c r="D103" s="50" t="n"/>
      <c r="E103" s="48" t="n"/>
      <c r="F103" s="48" t="n"/>
      <c r="G103" s="50" t="n"/>
      <c r="H103" s="41" t="n"/>
      <c r="I103" s="53" t="n"/>
    </row>
    <row r="104" outlineLevel="1" s="58">
      <c r="A104" s="57" t="n"/>
      <c r="B104" s="53" t="n"/>
      <c r="C104" s="26" t="n"/>
      <c r="D104" s="50" t="n"/>
      <c r="E104" s="48" t="n"/>
      <c r="F104" s="48" t="n"/>
      <c r="G104" s="50" t="n"/>
      <c r="H104" s="41" t="n"/>
      <c r="I104" s="53" t="n"/>
    </row>
    <row r="105" outlineLevel="1" s="58">
      <c r="A105" s="57" t="n"/>
      <c r="B105" s="53" t="n"/>
      <c r="C105" s="26" t="n"/>
      <c r="D105" s="50" t="n"/>
      <c r="E105" s="48" t="n"/>
      <c r="F105" s="48" t="n"/>
      <c r="G105" s="50" t="n"/>
      <c r="H105" s="41" t="n"/>
      <c r="I105" s="53" t="n"/>
    </row>
    <row r="106" outlineLevel="1" s="58">
      <c r="A106" s="57" t="n"/>
      <c r="B106" s="53" t="n"/>
      <c r="C106" s="26" t="n"/>
      <c r="D106" s="50" t="n"/>
      <c r="E106" s="48" t="n"/>
      <c r="F106" s="48" t="n"/>
      <c r="G106" s="50" t="n"/>
      <c r="H106" s="41" t="n"/>
      <c r="I106" s="53" t="n"/>
    </row>
    <row r="107" outlineLevel="1" s="58">
      <c r="A107" s="57" t="n"/>
      <c r="B107" s="53" t="n"/>
      <c r="C107" s="26" t="n"/>
      <c r="D107" s="50" t="n"/>
      <c r="E107" s="48" t="n"/>
      <c r="F107" s="48" t="n"/>
      <c r="G107" s="50" t="n"/>
      <c r="H107" s="41" t="n"/>
      <c r="I107" s="53" t="n"/>
    </row>
    <row r="108" outlineLevel="1" s="58">
      <c r="A108" s="57" t="n"/>
      <c r="B108" s="53" t="n"/>
      <c r="C108" s="26" t="n"/>
      <c r="D108" s="50" t="n"/>
      <c r="E108" s="48" t="n"/>
      <c r="F108" s="48" t="n"/>
      <c r="G108" s="50" t="n"/>
      <c r="H108" s="41" t="n"/>
      <c r="I108" s="53" t="n"/>
    </row>
    <row r="109" outlineLevel="1" s="58">
      <c r="A109" s="57" t="n"/>
      <c r="B109" s="53" t="n"/>
      <c r="C109" s="26" t="n"/>
      <c r="D109" s="50" t="n"/>
      <c r="E109" s="48" t="n"/>
      <c r="F109" s="48" t="n"/>
      <c r="G109" s="50" t="n"/>
      <c r="H109" s="41" t="n"/>
      <c r="I109" s="53" t="n"/>
    </row>
    <row r="110" outlineLevel="1" s="58">
      <c r="A110" s="57" t="n"/>
      <c r="B110" s="53" t="n"/>
      <c r="C110" s="26" t="n"/>
      <c r="D110" s="50" t="n"/>
      <c r="E110" s="48" t="n"/>
      <c r="F110" s="48" t="n"/>
      <c r="G110" s="50" t="n"/>
      <c r="H110" s="41" t="n"/>
      <c r="I110" s="53" t="n"/>
    </row>
    <row r="111">
      <c r="A111" s="57" t="n"/>
      <c r="B111" s="53" t="n"/>
      <c r="C111" s="26" t="n"/>
      <c r="D111" s="50" t="n"/>
      <c r="E111" s="48" t="n"/>
      <c r="F111" s="48" t="n"/>
      <c r="G111" s="50" t="n"/>
      <c r="H111" s="41" t="n"/>
      <c r="I111" s="53" t="n"/>
    </row>
    <row r="112" outlineLevel="1" s="58">
      <c r="A112" s="57" t="n"/>
      <c r="B112" s="53" t="n"/>
      <c r="C112" s="26" t="n"/>
      <c r="D112" s="50" t="n"/>
      <c r="E112" s="48" t="n"/>
      <c r="F112" s="48" t="n"/>
      <c r="G112" s="50" t="n"/>
      <c r="H112" s="41" t="n"/>
      <c r="I112" s="53" t="n"/>
    </row>
    <row r="113" outlineLevel="1" s="58">
      <c r="A113" s="57" t="n"/>
      <c r="B113" s="53" t="n"/>
      <c r="C113" s="26" t="n"/>
      <c r="D113" s="50" t="n"/>
      <c r="E113" s="48" t="n"/>
      <c r="F113" s="48" t="n"/>
      <c r="G113" s="50" t="n"/>
      <c r="H113" s="41" t="n"/>
      <c r="I113" s="53" t="n"/>
    </row>
    <row r="114" outlineLevel="1" s="58">
      <c r="A114" s="57" t="n"/>
      <c r="B114" s="53" t="n"/>
      <c r="C114" s="26" t="n"/>
      <c r="D114" s="50" t="n"/>
      <c r="E114" s="48" t="n"/>
      <c r="F114" s="48" t="n"/>
      <c r="G114" s="50" t="n"/>
      <c r="H114" s="41" t="n"/>
      <c r="I114" s="53" t="n"/>
    </row>
    <row r="115" outlineLevel="1" s="58">
      <c r="A115" s="57" t="n"/>
      <c r="B115" s="53" t="n"/>
      <c r="C115" s="26" t="n"/>
      <c r="D115" s="50" t="n"/>
      <c r="E115" s="48" t="n"/>
      <c r="F115" s="48" t="n"/>
      <c r="G115" s="50" t="n"/>
      <c r="H115" s="41" t="n"/>
      <c r="I115" s="53" t="n"/>
    </row>
    <row r="116" outlineLevel="1" s="58">
      <c r="A116" s="57" t="n"/>
      <c r="B116" s="53" t="n"/>
      <c r="C116" s="26" t="n"/>
      <c r="D116" s="50" t="n"/>
      <c r="E116" s="48" t="n"/>
      <c r="F116" s="48" t="n"/>
      <c r="G116" s="50" t="n"/>
      <c r="H116" s="41" t="n"/>
      <c r="I116" s="53" t="n"/>
    </row>
    <row r="117" outlineLevel="1" s="58">
      <c r="A117" s="57" t="n"/>
      <c r="B117" s="53" t="n"/>
      <c r="C117" s="26" t="n"/>
      <c r="D117" s="50" t="n"/>
      <c r="E117" s="48" t="n"/>
      <c r="F117" s="48" t="n"/>
      <c r="G117" s="50" t="n"/>
      <c r="H117" s="41" t="n"/>
      <c r="I117" s="53" t="n"/>
    </row>
    <row r="118" outlineLevel="1" s="58">
      <c r="A118" s="57" t="n"/>
      <c r="B118" s="53" t="n"/>
      <c r="C118" s="26" t="n"/>
      <c r="D118" s="50" t="n"/>
      <c r="E118" s="48" t="n"/>
      <c r="F118" s="48" t="n"/>
      <c r="G118" s="50" t="n"/>
      <c r="H118" s="41" t="n"/>
      <c r="I118" s="53" t="n"/>
    </row>
    <row r="119" outlineLevel="1" s="58">
      <c r="A119" s="57" t="n"/>
      <c r="B119" s="53" t="n"/>
      <c r="C119" s="26" t="n"/>
      <c r="D119" s="50" t="n"/>
      <c r="E119" s="48" t="n"/>
      <c r="F119" s="48" t="n"/>
      <c r="G119" s="50" t="n"/>
      <c r="H119" s="41" t="n"/>
      <c r="I119" s="53" t="n"/>
    </row>
    <row r="120" outlineLevel="1" s="58">
      <c r="A120" s="57" t="n"/>
      <c r="B120" s="53" t="n"/>
      <c r="C120" s="26" t="n"/>
      <c r="D120" s="50" t="n"/>
      <c r="E120" s="48" t="n"/>
      <c r="F120" s="48" t="n"/>
      <c r="G120" s="50" t="n"/>
      <c r="H120" s="41" t="n"/>
      <c r="I120" s="53" t="n"/>
    </row>
    <row r="121">
      <c r="A121" s="57" t="n"/>
      <c r="B121" s="53" t="n"/>
      <c r="C121" s="26" t="n"/>
      <c r="D121" s="50" t="n"/>
      <c r="E121" s="48" t="n"/>
      <c r="F121" s="48" t="n"/>
      <c r="G121" s="50" t="n"/>
      <c r="H121" s="41" t="n"/>
      <c r="I121" s="53" t="n"/>
    </row>
    <row r="122" outlineLevel="1" s="58">
      <c r="A122" s="57" t="n"/>
      <c r="B122" s="53" t="n"/>
      <c r="C122" s="26" t="n"/>
      <c r="D122" s="50" t="n"/>
      <c r="E122" s="48" t="n"/>
      <c r="F122" s="48" t="n"/>
      <c r="G122" s="50" t="n"/>
      <c r="H122" s="41" t="n"/>
      <c r="I122" s="53" t="n"/>
    </row>
    <row r="123" outlineLevel="1" s="58">
      <c r="A123" s="57" t="n"/>
      <c r="B123" s="53" t="n"/>
      <c r="C123" s="26" t="n"/>
      <c r="D123" s="50" t="n"/>
      <c r="E123" s="48" t="n"/>
      <c r="F123" s="48" t="n"/>
      <c r="G123" s="50" t="n"/>
      <c r="H123" s="41" t="n"/>
      <c r="I123" s="53" t="n"/>
    </row>
    <row r="124" outlineLevel="1" s="58">
      <c r="A124" s="57" t="n"/>
      <c r="B124" s="53" t="n"/>
      <c r="C124" s="26" t="n"/>
      <c r="D124" s="50" t="n"/>
      <c r="E124" s="48" t="n"/>
      <c r="F124" s="48" t="n"/>
      <c r="G124" s="50" t="n"/>
      <c r="H124" s="41" t="n"/>
      <c r="I124" s="53" t="n"/>
    </row>
    <row r="125" outlineLevel="1" s="58">
      <c r="A125" s="57" t="n"/>
      <c r="B125" s="53" t="n"/>
      <c r="C125" s="26" t="n"/>
      <c r="D125" s="50" t="n"/>
      <c r="E125" s="48" t="n"/>
      <c r="F125" s="48" t="n"/>
      <c r="G125" s="50" t="n"/>
      <c r="H125" s="41" t="n"/>
      <c r="I125" s="53" t="n"/>
    </row>
    <row r="126" outlineLevel="1" s="58">
      <c r="A126" s="57" t="n"/>
      <c r="B126" s="53" t="n"/>
      <c r="C126" s="26" t="n"/>
      <c r="D126" s="50" t="n"/>
      <c r="E126" s="48" t="n"/>
      <c r="F126" s="48" t="n"/>
      <c r="G126" s="50" t="n"/>
      <c r="H126" s="41" t="n"/>
      <c r="I126" s="53" t="n"/>
    </row>
    <row r="127" outlineLevel="1" s="58">
      <c r="A127" s="57" t="n"/>
      <c r="B127" s="53" t="n"/>
      <c r="C127" s="26" t="n"/>
      <c r="D127" s="50" t="n"/>
      <c r="E127" s="48" t="n"/>
      <c r="F127" s="48" t="n"/>
      <c r="G127" s="50" t="n"/>
      <c r="H127" s="41" t="n"/>
      <c r="I127" s="53" t="n"/>
    </row>
    <row r="128" outlineLevel="1" s="58">
      <c r="A128" s="57" t="n"/>
      <c r="B128" s="53" t="n"/>
      <c r="C128" s="26" t="n"/>
      <c r="D128" s="50" t="n"/>
      <c r="E128" s="48" t="n"/>
      <c r="F128" s="48" t="n"/>
      <c r="G128" s="50" t="n"/>
      <c r="H128" s="41" t="n"/>
      <c r="I128" s="53" t="n"/>
    </row>
    <row r="129" outlineLevel="1" s="58">
      <c r="A129" s="57" t="n"/>
      <c r="B129" s="53" t="n"/>
      <c r="C129" s="26" t="n"/>
      <c r="D129" s="50" t="n"/>
      <c r="E129" s="48" t="n"/>
      <c r="F129" s="48" t="n"/>
      <c r="G129" s="50" t="n"/>
      <c r="H129" s="41" t="n"/>
      <c r="I129" s="53" t="n"/>
    </row>
    <row r="130" outlineLevel="1" s="58">
      <c r="A130" s="57" t="n"/>
      <c r="B130" s="53" t="n"/>
      <c r="C130" s="26" t="n"/>
      <c r="D130" s="50" t="n"/>
      <c r="E130" s="48" t="n"/>
      <c r="F130" s="48" t="n"/>
      <c r="G130" s="50" t="n"/>
      <c r="H130" s="41" t="n"/>
      <c r="I130" s="53" t="n"/>
    </row>
    <row r="131">
      <c r="A131" s="57" t="n"/>
      <c r="B131" s="53" t="n"/>
      <c r="C131" s="26" t="n"/>
      <c r="D131" s="50" t="n"/>
      <c r="E131" s="48" t="n"/>
      <c r="F131" s="48" t="n"/>
      <c r="G131" s="50" t="n"/>
      <c r="H131" s="41" t="n"/>
      <c r="I131" s="53" t="n"/>
    </row>
    <row r="132" outlineLevel="1" s="58">
      <c r="A132" s="57" t="n"/>
      <c r="B132" s="53" t="n"/>
      <c r="C132" s="26" t="n"/>
      <c r="D132" s="50" t="n"/>
      <c r="E132" s="48" t="n"/>
      <c r="F132" s="48" t="n"/>
      <c r="G132" s="50" t="n"/>
      <c r="H132" s="41" t="n"/>
      <c r="I132" s="53" t="n"/>
    </row>
    <row r="133" outlineLevel="1" s="58">
      <c r="A133" s="57" t="n"/>
      <c r="B133" s="53" t="n"/>
      <c r="C133" s="26" t="n"/>
      <c r="D133" s="50" t="n"/>
      <c r="E133" s="48" t="n"/>
      <c r="F133" s="48" t="n"/>
      <c r="G133" s="50" t="n"/>
      <c r="H133" s="41" t="n"/>
      <c r="I133" s="53" t="n"/>
    </row>
    <row r="134" outlineLevel="1" s="58">
      <c r="A134" s="57" t="n"/>
      <c r="B134" s="53" t="n"/>
      <c r="C134" s="26" t="n"/>
      <c r="D134" s="50" t="n"/>
      <c r="E134" s="48" t="n"/>
      <c r="F134" s="48" t="n"/>
      <c r="G134" s="50" t="n"/>
      <c r="H134" s="41" t="n"/>
      <c r="I134" s="53" t="n"/>
    </row>
    <row r="135" outlineLevel="1" s="58">
      <c r="A135" s="57" t="n"/>
      <c r="B135" s="53" t="n"/>
      <c r="C135" s="26" t="n"/>
      <c r="D135" s="50" t="n"/>
      <c r="E135" s="48" t="n"/>
      <c r="F135" s="48" t="n"/>
      <c r="G135" s="50" t="n"/>
      <c r="H135" s="41" t="n"/>
      <c r="I135" s="53" t="n"/>
    </row>
    <row r="136" outlineLevel="1" s="58">
      <c r="A136" s="57" t="n"/>
      <c r="B136" s="53" t="n"/>
      <c r="C136" s="26" t="n"/>
      <c r="D136" s="50" t="n"/>
      <c r="E136" s="48" t="n"/>
      <c r="F136" s="48" t="n"/>
      <c r="G136" s="50" t="n"/>
      <c r="H136" s="41" t="n"/>
      <c r="I136" s="53" t="n"/>
    </row>
    <row r="137" outlineLevel="1" s="58">
      <c r="A137" s="57" t="n"/>
      <c r="B137" s="53" t="n"/>
      <c r="C137" s="26" t="n"/>
      <c r="D137" s="50" t="n"/>
      <c r="E137" s="48" t="n"/>
      <c r="F137" s="48" t="n"/>
      <c r="G137" s="50" t="n"/>
      <c r="H137" s="41" t="n"/>
      <c r="I137" s="53" t="n"/>
    </row>
    <row r="138">
      <c r="A138" s="57" t="n"/>
      <c r="B138" s="53" t="n"/>
      <c r="C138" s="26" t="n"/>
      <c r="D138" s="50" t="n"/>
      <c r="E138" s="48" t="n"/>
      <c r="F138" s="48" t="n"/>
      <c r="G138" s="50" t="n"/>
      <c r="H138" s="41" t="n"/>
      <c r="I138" s="53" t="n"/>
    </row>
    <row r="139" outlineLevel="1" s="58">
      <c r="A139" s="57" t="n"/>
      <c r="B139" s="53" t="n"/>
      <c r="C139" s="26" t="n"/>
      <c r="D139" s="50" t="n"/>
      <c r="E139" s="48" t="n"/>
      <c r="F139" s="48" t="n"/>
      <c r="G139" s="50" t="n"/>
      <c r="H139" s="41" t="n"/>
      <c r="I139" s="53" t="n"/>
    </row>
    <row r="140" outlineLevel="1" s="58">
      <c r="A140" s="57" t="n"/>
      <c r="B140" s="53" t="n"/>
      <c r="C140" s="26" t="n"/>
      <c r="D140" s="50" t="n"/>
      <c r="E140" s="48" t="n"/>
      <c r="F140" s="48" t="n"/>
      <c r="G140" s="50" t="n"/>
      <c r="H140" s="41" t="n"/>
      <c r="I140" s="53" t="n"/>
    </row>
    <row r="141" outlineLevel="1" s="58">
      <c r="A141" s="57" t="n"/>
      <c r="B141" s="53" t="n"/>
      <c r="C141" s="26" t="n"/>
      <c r="D141" s="50" t="n"/>
      <c r="E141" s="48" t="n"/>
      <c r="F141" s="48" t="n"/>
      <c r="G141" s="50" t="n"/>
      <c r="H141" s="41" t="n"/>
      <c r="I141" s="53" t="n"/>
    </row>
    <row r="142" outlineLevel="1" s="58">
      <c r="A142" s="57" t="n"/>
      <c r="B142" s="53" t="n"/>
      <c r="C142" s="26" t="n"/>
      <c r="D142" s="50" t="n"/>
      <c r="E142" s="48" t="n"/>
      <c r="F142" s="48" t="n"/>
      <c r="G142" s="50" t="n"/>
      <c r="H142" s="41" t="n"/>
      <c r="I142" s="53" t="n"/>
    </row>
    <row r="143" outlineLevel="1" s="58">
      <c r="A143" s="57" t="n"/>
      <c r="B143" s="53" t="n"/>
      <c r="C143" s="26" t="n"/>
      <c r="D143" s="50" t="n"/>
      <c r="E143" s="48" t="n"/>
      <c r="F143" s="48" t="n"/>
      <c r="G143" s="50" t="n"/>
      <c r="H143" s="41" t="n"/>
      <c r="I143" s="53" t="n"/>
    </row>
    <row r="144" outlineLevel="1" s="58">
      <c r="A144" s="57" t="n"/>
      <c r="B144" s="53" t="n"/>
      <c r="C144" s="26" t="n"/>
      <c r="D144" s="50" t="n"/>
      <c r="E144" s="48" t="n"/>
      <c r="F144" s="48" t="n"/>
      <c r="G144" s="50" t="n"/>
      <c r="H144" s="41" t="n"/>
      <c r="I144" s="53" t="n"/>
    </row>
    <row r="145" outlineLevel="1" s="58">
      <c r="A145" s="57" t="n"/>
      <c r="B145" s="53" t="n"/>
      <c r="C145" s="26" t="n"/>
      <c r="D145" s="50" t="n"/>
      <c r="E145" s="48" t="n"/>
      <c r="F145" s="48" t="n"/>
      <c r="G145" s="50" t="n"/>
      <c r="H145" s="41" t="n"/>
      <c r="I145" s="53" t="n"/>
    </row>
    <row r="146">
      <c r="A146" s="57" t="n"/>
      <c r="B146" s="53" t="n"/>
      <c r="C146" s="26" t="n"/>
      <c r="D146" s="50" t="n"/>
      <c r="E146" s="48" t="n"/>
      <c r="F146" s="48" t="n"/>
      <c r="G146" s="50" t="n"/>
      <c r="H146" s="41" t="n"/>
      <c r="I146" s="53" t="n"/>
    </row>
    <row r="147" outlineLevel="1" s="58">
      <c r="A147" s="57" t="n"/>
      <c r="B147" s="53" t="n"/>
      <c r="C147" s="26" t="n"/>
      <c r="D147" s="50" t="n"/>
      <c r="E147" s="48" t="n"/>
      <c r="F147" s="48" t="n"/>
      <c r="G147" s="50" t="n"/>
      <c r="H147" s="41" t="n"/>
      <c r="I147" s="53" t="n"/>
    </row>
    <row r="148" outlineLevel="1" s="58">
      <c r="A148" s="57" t="n"/>
      <c r="B148" s="53" t="n"/>
      <c r="C148" s="26" t="n"/>
      <c r="D148" s="50" t="n"/>
      <c r="E148" s="48" t="n"/>
      <c r="F148" s="48" t="n"/>
      <c r="G148" s="50" t="n"/>
      <c r="H148" s="41" t="n"/>
      <c r="I148" s="53" t="n"/>
    </row>
    <row r="149" outlineLevel="1" s="58">
      <c r="A149" s="57" t="n"/>
      <c r="B149" s="53" t="n"/>
      <c r="C149" s="26" t="n"/>
      <c r="D149" s="50" t="n"/>
      <c r="E149" s="48" t="n"/>
      <c r="F149" s="48" t="n"/>
      <c r="G149" s="50" t="n"/>
      <c r="H149" s="41" t="n"/>
      <c r="I149" s="53" t="n"/>
    </row>
    <row r="150" outlineLevel="1" s="58">
      <c r="A150" s="57" t="n"/>
      <c r="B150" s="53" t="n"/>
      <c r="C150" s="26" t="n"/>
      <c r="D150" s="50" t="n"/>
      <c r="E150" s="48" t="n"/>
      <c r="F150" s="48" t="n"/>
      <c r="G150" s="50" t="n"/>
      <c r="H150" s="41" t="n"/>
      <c r="I150" s="53" t="n"/>
    </row>
    <row r="151" outlineLevel="1" s="58">
      <c r="A151" s="57" t="n"/>
      <c r="B151" s="53" t="n"/>
      <c r="C151" s="26" t="n"/>
      <c r="D151" s="50" t="n"/>
      <c r="E151" s="48" t="n"/>
      <c r="F151" s="48" t="n"/>
      <c r="G151" s="50" t="n"/>
      <c r="H151" s="41" t="n"/>
      <c r="I151" s="53" t="n"/>
    </row>
    <row r="152" outlineLevel="1" s="58">
      <c r="A152" s="57" t="n"/>
      <c r="B152" s="53" t="n"/>
      <c r="C152" s="26" t="n"/>
      <c r="D152" s="50" t="n"/>
      <c r="E152" s="48" t="n"/>
      <c r="F152" s="48" t="n"/>
      <c r="G152" s="50" t="n"/>
      <c r="H152" s="41" t="n"/>
      <c r="I152" s="53" t="n"/>
    </row>
    <row r="153">
      <c r="A153" s="57" t="n"/>
      <c r="B153" s="53" t="n"/>
      <c r="C153" s="26" t="n"/>
      <c r="D153" s="50" t="n"/>
      <c r="E153" s="48" t="n"/>
      <c r="F153" s="48" t="n"/>
      <c r="G153" s="50" t="n"/>
      <c r="H153" s="41" t="n"/>
      <c r="I153" s="53" t="n"/>
    </row>
    <row r="154" outlineLevel="1" s="58">
      <c r="A154" s="57" t="n"/>
      <c r="B154" s="53" t="n"/>
      <c r="C154" s="26" t="n"/>
      <c r="D154" s="50" t="n"/>
      <c r="E154" s="48" t="n"/>
      <c r="F154" s="48" t="n"/>
      <c r="G154" s="50" t="n"/>
      <c r="H154" s="41" t="n"/>
      <c r="I154" s="53" t="n"/>
    </row>
    <row r="155" outlineLevel="1" s="58">
      <c r="A155" s="57" t="n"/>
      <c r="B155" s="53" t="n"/>
      <c r="C155" s="26" t="n"/>
      <c r="D155" s="50" t="n"/>
      <c r="E155" s="48" t="n"/>
      <c r="F155" s="48" t="n"/>
      <c r="G155" s="50" t="n"/>
      <c r="H155" s="41" t="n"/>
      <c r="I155" s="53" t="n"/>
    </row>
    <row r="156" outlineLevel="1" s="58">
      <c r="A156" s="57" t="n"/>
      <c r="B156" s="53" t="n"/>
      <c r="C156" s="26" t="n"/>
      <c r="D156" s="50" t="n"/>
      <c r="E156" s="48" t="n"/>
      <c r="F156" s="48" t="n"/>
      <c r="G156" s="50" t="n"/>
      <c r="H156" s="41" t="n"/>
      <c r="I156" s="53" t="n"/>
    </row>
    <row r="157" outlineLevel="1" s="58">
      <c r="A157" s="57" t="n"/>
      <c r="B157" s="53" t="n"/>
      <c r="C157" s="26" t="n"/>
      <c r="D157" s="50" t="n"/>
      <c r="E157" s="48" t="n"/>
      <c r="F157" s="48" t="n"/>
      <c r="G157" s="50" t="n"/>
      <c r="H157" s="41" t="n"/>
      <c r="I157" s="53" t="n"/>
    </row>
    <row r="158" outlineLevel="1" s="58">
      <c r="A158" s="57" t="n"/>
      <c r="B158" s="53" t="n"/>
      <c r="C158" s="26" t="n"/>
      <c r="D158" s="50" t="n"/>
      <c r="E158" s="48" t="n"/>
      <c r="F158" s="48" t="n"/>
      <c r="G158" s="50" t="n"/>
      <c r="H158" s="41" t="n"/>
      <c r="I158" s="53" t="n"/>
    </row>
    <row r="159" outlineLevel="1" s="58">
      <c r="A159" s="57" t="n"/>
      <c r="B159" s="53" t="n"/>
      <c r="C159" s="26" t="n"/>
      <c r="D159" s="50" t="n"/>
      <c r="E159" s="48" t="n"/>
      <c r="F159" s="48" t="n"/>
      <c r="G159" s="50" t="n"/>
      <c r="H159" s="41" t="n"/>
      <c r="I159" s="53" t="n"/>
    </row>
    <row r="160">
      <c r="A160" s="57" t="n"/>
      <c r="B160" s="53" t="n"/>
      <c r="C160" s="26" t="n"/>
      <c r="D160" s="50" t="n"/>
      <c r="E160" s="48" t="n"/>
      <c r="F160" s="48" t="n"/>
      <c r="G160" s="50" t="n"/>
      <c r="H160" s="41" t="n"/>
      <c r="I160" s="53" t="n"/>
    </row>
    <row r="161">
      <c r="A161" s="57" t="n"/>
      <c r="B161" s="53" t="n"/>
      <c r="C161" s="26" t="n"/>
      <c r="D161" s="50" t="n"/>
      <c r="E161" s="48" t="n"/>
      <c r="F161" s="48" t="n"/>
      <c r="G161" s="50" t="n"/>
      <c r="H161" s="41" t="n"/>
      <c r="I161" s="53" t="n"/>
    </row>
    <row r="162">
      <c r="A162" s="57" t="n"/>
      <c r="B162" s="53" t="n"/>
      <c r="C162" s="26" t="n"/>
      <c r="D162" s="50" t="n"/>
      <c r="E162" s="48" t="n"/>
      <c r="F162" s="48" t="n"/>
      <c r="G162" s="50" t="n"/>
      <c r="H162" s="41" t="n"/>
      <c r="I162" s="53" t="n"/>
    </row>
  </sheetData>
  <dataValidations count="2">
    <dataValidation sqref="D3:D21 D24:D34 D37:D46 D49:D58 D61:D70 D73:D84" showDropDown="0" showInputMessage="0" showErrorMessage="0" allowBlank="1" type="list">
      <formula1>"Готово,В работе,Планируется ,Пауза"</formula1>
    </dataValidation>
    <dataValidation sqref="G3:G21 G24:G34 G37:G46 G49:G58 G61:G70 G73:G84" showDropDown="0" showInputMessage="0" showErrorMessage="0" allowBlank="1" type="list">
      <formula1>"Мулякин Леонид,Колпаков Александр,Шевченко Данил,Конферович Сергей,Клиент,Полина Князева,Камилла Сафарова,Николай Гужов,Влад Комаров"</formula1>
    </dataValidation>
  </dataValidations>
  <hyperlinks>
    <hyperlink xmlns:r="http://schemas.openxmlformats.org/officeDocument/2006/relationships" ref="B20" r:id="rId1"/>
    <hyperlink xmlns:r="http://schemas.openxmlformats.org/officeDocument/2006/relationships" ref="B21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2026-08-27T06:30:36Z</dcterms:created>
  <dcterms:modified xmlns:dcterms="http://purl.org/dc/terms/" xmlns:xsi="http://www.w3.org/2001/XMLSchema-instance" xsi:type="dcterms:W3CDTF">2026-08-27T06:31:51Z</dcterms:modified>
</cp:coreProperties>
</file>